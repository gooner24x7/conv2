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heckCompatibility="1" autoCompressPictures="0" defaultThemeVersion="124226"/>
  <mc:AlternateContent xmlns:mc="http://schemas.openxmlformats.org/markup-compatibility/2006">
    <mc:Choice Requires="x15">
      <x15ac:absPath xmlns:x15ac="http://schemas.microsoft.com/office/spreadsheetml/2010/11/ac" url="https://willmottdixongroup.sharepoint.com/sites/WD-North/Yorkshire/K00272 Doncaster Gateway 1/04 Sub Trades/"/>
    </mc:Choice>
  </mc:AlternateContent>
  <xr:revisionPtr revIDLastSave="197" documentId="8_{AF90E769-331A-4E4E-8ECC-671B087AC617}" xr6:coauthVersionLast="47" xr6:coauthVersionMax="47" xr10:uidLastSave="{30C3F393-1430-4144-9319-3310BFDEA362}"/>
  <bookViews>
    <workbookView xWindow="-28920" yWindow="-105" windowWidth="29040" windowHeight="15720" xr2:uid="{00000000-000D-0000-FFFF-FFFF00000000}"/>
  </bookViews>
  <sheets>
    <sheet name="Bill Items" sheetId="1" r:id="rId1"/>
    <sheet name="Bill Summary" sheetId="2" r:id="rId2"/>
    <sheet name="General 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48" i="1" l="1"/>
  <c r="I4157" i="1" s="1"/>
  <c r="I4160" i="1" s="1"/>
  <c r="I4083" i="1"/>
  <c r="I4092" i="1" s="1"/>
  <c r="I4095" i="1" s="1"/>
  <c r="I4055" i="1"/>
  <c r="I4064" i="1" s="1"/>
  <c r="I4067" i="1" s="1"/>
  <c r="I4017" i="1"/>
  <c r="I4026" i="1" s="1"/>
  <c r="I4029" i="1" s="1"/>
  <c r="I3991" i="1"/>
  <c r="I4000" i="1" s="1"/>
  <c r="I4003" i="1" s="1"/>
  <c r="I3967" i="1"/>
  <c r="I3977" i="1" s="1"/>
  <c r="I3957" i="1"/>
  <c r="I3976" i="1" s="1"/>
  <c r="I3944" i="1"/>
  <c r="E73" i="3" s="1"/>
  <c r="I3941" i="1"/>
  <c r="I3920" i="1"/>
  <c r="I3923" i="1" s="1"/>
  <c r="I3889" i="1"/>
  <c r="I3899" i="1" s="1"/>
  <c r="I3872" i="1"/>
  <c r="I3898" i="1" s="1"/>
  <c r="I3846" i="1"/>
  <c r="I3855" i="1" s="1"/>
  <c r="I3858" i="1" s="1"/>
  <c r="I3836" i="1"/>
  <c r="E69" i="3" s="1"/>
  <c r="I3833" i="1"/>
  <c r="I3802" i="1"/>
  <c r="I3812" i="1" s="1"/>
  <c r="I3790" i="1"/>
  <c r="I3811" i="1" s="1"/>
  <c r="I3762" i="1"/>
  <c r="I3772" i="1" s="1"/>
  <c r="I3751" i="1"/>
  <c r="I3771" i="1" s="1"/>
  <c r="I3724" i="1"/>
  <c r="I3733" i="1" s="1"/>
  <c r="I3736" i="1" s="1"/>
  <c r="E66" i="3" s="1"/>
  <c r="I3711" i="1"/>
  <c r="I3714" i="1" s="1"/>
  <c r="I3680" i="1"/>
  <c r="I3690" i="1" s="1"/>
  <c r="I3668" i="1"/>
  <c r="I3689" i="1" s="1"/>
  <c r="I3640" i="1"/>
  <c r="I3650" i="1" s="1"/>
  <c r="I3629" i="1"/>
  <c r="I3649" i="1" s="1"/>
  <c r="I3601" i="1"/>
  <c r="I3611" i="1" s="1"/>
  <c r="I3589" i="1"/>
  <c r="I3610" i="1" s="1"/>
  <c r="I3564" i="1"/>
  <c r="I3574" i="1" s="1"/>
  <c r="I3553" i="1"/>
  <c r="I3573" i="1" s="1"/>
  <c r="I3525" i="1"/>
  <c r="I3535" i="1" s="1"/>
  <c r="I3510" i="1"/>
  <c r="I3534" i="1" s="1"/>
  <c r="I3481" i="1"/>
  <c r="I3492" i="1" s="1"/>
  <c r="I3473" i="1"/>
  <c r="I3491" i="1" s="1"/>
  <c r="I3461" i="1"/>
  <c r="I3490" i="1" s="1"/>
  <c r="I3430" i="1"/>
  <c r="I3441" i="1" s="1"/>
  <c r="I3418" i="1"/>
  <c r="I3440" i="1" s="1"/>
  <c r="I3406" i="1"/>
  <c r="I3439" i="1" s="1"/>
  <c r="I3381" i="1"/>
  <c r="I3390" i="1" s="1"/>
  <c r="I3393" i="1" s="1"/>
  <c r="I3359" i="1"/>
  <c r="I3369" i="1" s="1"/>
  <c r="I3344" i="1"/>
  <c r="I3368" i="1" s="1"/>
  <c r="I3316" i="1"/>
  <c r="I3326" i="1" s="1"/>
  <c r="I3308" i="1"/>
  <c r="I3325" i="1" s="1"/>
  <c r="I3281" i="1"/>
  <c r="I3291" i="1" s="1"/>
  <c r="I3271" i="1"/>
  <c r="I3290" i="1" s="1"/>
  <c r="I3245" i="1"/>
  <c r="I3255" i="1" s="1"/>
  <c r="I3236" i="1"/>
  <c r="I3254" i="1" s="1"/>
  <c r="I3206" i="1"/>
  <c r="I3217" i="1" s="1"/>
  <c r="I3192" i="1"/>
  <c r="I3216" i="1" s="1"/>
  <c r="I3178" i="1"/>
  <c r="I3215" i="1" s="1"/>
  <c r="I3159" i="1"/>
  <c r="I3145" i="1"/>
  <c r="I3161" i="1" s="1"/>
  <c r="I3135" i="1"/>
  <c r="I3160" i="1" s="1"/>
  <c r="I3104" i="1"/>
  <c r="I3158" i="1" s="1"/>
  <c r="I3092" i="1"/>
  <c r="I3157" i="1" s="1"/>
  <c r="I3079" i="1"/>
  <c r="I3156" i="1" s="1"/>
  <c r="I3067" i="1"/>
  <c r="I3155" i="1" s="1"/>
  <c r="I3053" i="1"/>
  <c r="I3154" i="1" s="1"/>
  <c r="I3024" i="1"/>
  <c r="I3033" i="1" s="1"/>
  <c r="I3036" i="1" s="1"/>
  <c r="I2993" i="1"/>
  <c r="I3004" i="1" s="1"/>
  <c r="I2976" i="1"/>
  <c r="I3003" i="1" s="1"/>
  <c r="I2955" i="1"/>
  <c r="I3002" i="1" s="1"/>
  <c r="I2937" i="1"/>
  <c r="E48" i="3" s="1"/>
  <c r="I2934" i="1"/>
  <c r="I2902" i="1"/>
  <c r="I2913" i="1" s="1"/>
  <c r="I2891" i="1"/>
  <c r="I2912" i="1" s="1"/>
  <c r="I2880" i="1"/>
  <c r="I2911" i="1" s="1"/>
  <c r="I2860" i="1"/>
  <c r="I2863" i="1" s="1"/>
  <c r="I2851" i="1"/>
  <c r="I2827" i="1"/>
  <c r="I2838" i="1" s="1"/>
  <c r="I2811" i="1"/>
  <c r="I2837" i="1" s="1"/>
  <c r="I2792" i="1"/>
  <c r="I2836" i="1" s="1"/>
  <c r="I2762" i="1"/>
  <c r="I2772" i="1" s="1"/>
  <c r="I2745" i="1"/>
  <c r="I2771" i="1" s="1"/>
  <c r="I2713" i="1"/>
  <c r="I2727" i="1" s="1"/>
  <c r="I2695" i="1"/>
  <c r="I2726" i="1" s="1"/>
  <c r="I2682" i="1"/>
  <c r="I2725" i="1" s="1"/>
  <c r="I2669" i="1"/>
  <c r="I2724" i="1" s="1"/>
  <c r="I2658" i="1"/>
  <c r="I2723" i="1" s="1"/>
  <c r="I2645" i="1"/>
  <c r="I2722" i="1" s="1"/>
  <c r="I2616" i="1"/>
  <c r="I2625" i="1" s="1"/>
  <c r="I2628" i="1" s="1"/>
  <c r="I2592" i="1"/>
  <c r="I2602" i="1" s="1"/>
  <c r="I2577" i="1"/>
  <c r="I2601" i="1" s="1"/>
  <c r="I2548" i="1"/>
  <c r="I2558" i="1" s="1"/>
  <c r="I2534" i="1"/>
  <c r="I2557" i="1" s="1"/>
  <c r="I2561" i="1" s="1"/>
  <c r="I2506" i="1"/>
  <c r="I2518" i="1" s="1"/>
  <c r="I2493" i="1"/>
  <c r="I2517" i="1" s="1"/>
  <c r="I2479" i="1"/>
  <c r="I2516" i="1" s="1"/>
  <c r="I2465" i="1"/>
  <c r="I2515" i="1" s="1"/>
  <c r="I2440" i="1"/>
  <c r="I2449" i="1" s="1"/>
  <c r="I2452" i="1" s="1"/>
  <c r="I2413" i="1"/>
  <c r="I2424" i="1" s="1"/>
  <c r="I2396" i="1"/>
  <c r="I2423" i="1" s="1"/>
  <c r="I2373" i="1"/>
  <c r="I2422" i="1" s="1"/>
  <c r="I2342" i="1"/>
  <c r="I2352" i="1" s="1"/>
  <c r="I2328" i="1"/>
  <c r="I2351" i="1" s="1"/>
  <c r="I2308" i="1"/>
  <c r="I2297" i="1"/>
  <c r="I2310" i="1" s="1"/>
  <c r="I2287" i="1"/>
  <c r="I2309" i="1" s="1"/>
  <c r="I2260" i="1"/>
  <c r="I2307" i="1" s="1"/>
  <c r="I2245" i="1"/>
  <c r="I2306" i="1" s="1"/>
  <c r="I2219" i="1"/>
  <c r="I2229" i="1" s="1"/>
  <c r="I2209" i="1"/>
  <c r="I2228" i="1" s="1"/>
  <c r="I2191" i="1"/>
  <c r="I2194" i="1" s="1"/>
  <c r="I2159" i="1"/>
  <c r="I2170" i="1" s="1"/>
  <c r="I2146" i="1"/>
  <c r="I2169" i="1" s="1"/>
  <c r="I2132" i="1"/>
  <c r="I2168" i="1" s="1"/>
  <c r="I2116" i="1"/>
  <c r="I2105" i="1"/>
  <c r="I2117" i="1" s="1"/>
  <c r="I2077" i="1"/>
  <c r="I2115" i="1" s="1"/>
  <c r="I2064" i="1"/>
  <c r="I2114" i="1" s="1"/>
  <c r="I2038" i="1"/>
  <c r="I2048" i="1" s="1"/>
  <c r="I2030" i="1"/>
  <c r="I2047" i="1" s="1"/>
  <c r="I2013" i="1"/>
  <c r="I2016" i="1" s="1"/>
  <c r="I1983" i="1"/>
  <c r="I1992" i="1" s="1"/>
  <c r="I1995" i="1" s="1"/>
  <c r="I1954" i="1"/>
  <c r="I1969" i="1" s="1"/>
  <c r="I1940" i="1"/>
  <c r="I1968" i="1" s="1"/>
  <c r="I1925" i="1"/>
  <c r="I1967" i="1" s="1"/>
  <c r="I1913" i="1"/>
  <c r="I1966" i="1" s="1"/>
  <c r="I1898" i="1"/>
  <c r="I1965" i="1" s="1"/>
  <c r="I1885" i="1"/>
  <c r="I1964" i="1" s="1"/>
  <c r="I1872" i="1"/>
  <c r="I1963" i="1" s="1"/>
  <c r="I1842" i="1"/>
  <c r="I1852" i="1" s="1"/>
  <c r="I1834" i="1"/>
  <c r="I1851" i="1" s="1"/>
  <c r="I1855" i="1" s="1"/>
  <c r="I1801" i="1"/>
  <c r="I1815" i="1" s="1"/>
  <c r="I1792" i="1"/>
  <c r="I1814" i="1" s="1"/>
  <c r="I1774" i="1"/>
  <c r="I1813" i="1" s="1"/>
  <c r="I1759" i="1"/>
  <c r="I1812" i="1" s="1"/>
  <c r="I1736" i="1"/>
  <c r="I1811" i="1" s="1"/>
  <c r="I1719" i="1"/>
  <c r="I1810" i="1" s="1"/>
  <c r="I1687" i="1"/>
  <c r="I1698" i="1" s="1"/>
  <c r="I1670" i="1"/>
  <c r="I1697" i="1" s="1"/>
  <c r="I1654" i="1"/>
  <c r="I1696" i="1" s="1"/>
  <c r="I1627" i="1"/>
  <c r="I1637" i="1" s="1"/>
  <c r="I1609" i="1"/>
  <c r="I1636" i="1" s="1"/>
  <c r="I1568" i="1"/>
  <c r="I1578" i="1" s="1"/>
  <c r="I1529" i="1"/>
  <c r="I1577" i="1" s="1"/>
  <c r="I1497" i="1"/>
  <c r="I1509" i="1" s="1"/>
  <c r="I1480" i="1"/>
  <c r="I1508" i="1" s="1"/>
  <c r="I1467" i="1"/>
  <c r="I1507" i="1" s="1"/>
  <c r="I1454" i="1"/>
  <c r="I1506" i="1" s="1"/>
  <c r="I1424" i="1"/>
  <c r="I1437" i="1" s="1"/>
  <c r="I1409" i="1"/>
  <c r="I1436" i="1" s="1"/>
  <c r="I1391" i="1"/>
  <c r="I1435" i="1" s="1"/>
  <c r="I1378" i="1"/>
  <c r="I1434" i="1" s="1"/>
  <c r="I1355" i="1"/>
  <c r="I1433" i="1" s="1"/>
  <c r="I1326" i="1"/>
  <c r="I1338" i="1" s="1"/>
  <c r="I1313" i="1"/>
  <c r="I1337" i="1" s="1"/>
  <c r="I1289" i="1"/>
  <c r="I1336" i="1" s="1"/>
  <c r="I1272" i="1"/>
  <c r="I1335" i="1" s="1"/>
  <c r="I1228" i="1"/>
  <c r="I1239" i="1" s="1"/>
  <c r="I1208" i="1"/>
  <c r="I1238" i="1" s="1"/>
  <c r="I1195" i="1"/>
  <c r="I1237" i="1" s="1"/>
  <c r="I1143" i="1"/>
  <c r="I1161" i="1" s="1"/>
  <c r="I1120" i="1"/>
  <c r="I1160" i="1" s="1"/>
  <c r="I1106" i="1"/>
  <c r="I1159" i="1" s="1"/>
  <c r="I1072" i="1"/>
  <c r="I1158" i="1" s="1"/>
  <c r="I1057" i="1"/>
  <c r="I1157" i="1" s="1"/>
  <c r="I1033" i="1"/>
  <c r="I1156" i="1" s="1"/>
  <c r="I1011" i="1"/>
  <c r="I1155" i="1" s="1"/>
  <c r="I991" i="1"/>
  <c r="I1154" i="1" s="1"/>
  <c r="I971" i="1"/>
  <c r="I1153" i="1" s="1"/>
  <c r="I954" i="1"/>
  <c r="I1152" i="1" s="1"/>
  <c r="I923" i="1"/>
  <c r="I935" i="1" s="1"/>
  <c r="I897" i="1"/>
  <c r="I934" i="1" s="1"/>
  <c r="I881" i="1"/>
  <c r="I933" i="1" s="1"/>
  <c r="I861" i="1"/>
  <c r="I932" i="1" s="1"/>
  <c r="I821" i="1"/>
  <c r="I837" i="1" s="1"/>
  <c r="I804" i="1"/>
  <c r="I836" i="1" s="1"/>
  <c r="I783" i="1"/>
  <c r="I835" i="1" s="1"/>
  <c r="I764" i="1"/>
  <c r="I834" i="1" s="1"/>
  <c r="I745" i="1"/>
  <c r="I833" i="1" s="1"/>
  <c r="I727" i="1"/>
  <c r="I832" i="1" s="1"/>
  <c r="I706" i="1"/>
  <c r="I831" i="1" s="1"/>
  <c r="I681" i="1"/>
  <c r="I830" i="1" s="1"/>
  <c r="I644" i="1"/>
  <c r="I654" i="1" s="1"/>
  <c r="I623" i="1"/>
  <c r="I653" i="1" s="1"/>
  <c r="I587" i="1"/>
  <c r="I602" i="1" s="1"/>
  <c r="I568" i="1"/>
  <c r="I601" i="1" s="1"/>
  <c r="I547" i="1"/>
  <c r="I600" i="1" s="1"/>
  <c r="I531" i="1"/>
  <c r="I599" i="1" s="1"/>
  <c r="I506" i="1"/>
  <c r="I598" i="1" s="1"/>
  <c r="I483" i="1"/>
  <c r="I597" i="1" s="1"/>
  <c r="I453" i="1"/>
  <c r="I596" i="1" s="1"/>
  <c r="I405" i="1"/>
  <c r="I415" i="1" s="1"/>
  <c r="I385" i="1"/>
  <c r="I414" i="1" s="1"/>
  <c r="I418" i="1" s="1"/>
  <c r="I339" i="1"/>
  <c r="I350" i="1" s="1"/>
  <c r="I327" i="1"/>
  <c r="I349" i="1" s="1"/>
  <c r="I294" i="1"/>
  <c r="I348" i="1" s="1"/>
  <c r="I353" i="1" s="1"/>
  <c r="I239" i="1"/>
  <c r="I254" i="1" s="1"/>
  <c r="I223" i="1"/>
  <c r="I253" i="1" s="1"/>
  <c r="I204" i="1"/>
  <c r="I252" i="1" s="1"/>
  <c r="I185" i="1"/>
  <c r="I251" i="1" s="1"/>
  <c r="I165" i="1"/>
  <c r="I250" i="1" s="1"/>
  <c r="I138" i="1"/>
  <c r="I249" i="1" s="1"/>
  <c r="I108" i="1"/>
  <c r="I248" i="1" s="1"/>
  <c r="I70" i="1"/>
  <c r="I82" i="1" s="1"/>
  <c r="I58" i="1"/>
  <c r="I81" i="1" s="1"/>
  <c r="I47" i="1"/>
  <c r="I80" i="1" s="1"/>
  <c r="I36" i="1"/>
  <c r="I79" i="1" s="1"/>
  <c r="I3577" i="1" l="1"/>
  <c r="I3495" i="1"/>
  <c r="E59" i="3" s="1"/>
  <c r="I3372" i="1"/>
  <c r="I3294" i="1"/>
  <c r="E54" i="3" s="1"/>
  <c r="I3007" i="1"/>
  <c r="E90" i="2" s="1"/>
  <c r="I2916" i="1"/>
  <c r="I2605" i="1"/>
  <c r="I2051" i="1"/>
  <c r="E41" i="3"/>
  <c r="E74" i="2"/>
  <c r="I85" i="1"/>
  <c r="I1341" i="1"/>
  <c r="I1640" i="1"/>
  <c r="I2232" i="1"/>
  <c r="E40" i="3"/>
  <c r="E72" i="2"/>
  <c r="E47" i="3"/>
  <c r="E86" i="2"/>
  <c r="E72" i="3"/>
  <c r="E136" i="2"/>
  <c r="I1164" i="1"/>
  <c r="I1512" i="1"/>
  <c r="E42" i="3"/>
  <c r="E76" i="2"/>
  <c r="I2775" i="1"/>
  <c r="I3258" i="1"/>
  <c r="E56" i="3"/>
  <c r="E104" i="2"/>
  <c r="I3693" i="1"/>
  <c r="E65" i="3"/>
  <c r="E122" i="2"/>
  <c r="E76" i="3"/>
  <c r="E144" i="2"/>
  <c r="E46" i="3"/>
  <c r="E84" i="2"/>
  <c r="I1242" i="1"/>
  <c r="I1818" i="1"/>
  <c r="E50" i="3"/>
  <c r="E92" i="2"/>
  <c r="I3653" i="1"/>
  <c r="E77" i="3"/>
  <c r="E146" i="2"/>
  <c r="E33" i="3"/>
  <c r="E58" i="2"/>
  <c r="E75" i="3"/>
  <c r="E142" i="2"/>
  <c r="I605" i="1"/>
  <c r="I257" i="1"/>
  <c r="I1581" i="1"/>
  <c r="I2355" i="1"/>
  <c r="I2730" i="1"/>
  <c r="I3980" i="1"/>
  <c r="E79" i="3"/>
  <c r="E150" i="2"/>
  <c r="E29" i="3"/>
  <c r="E50" i="2"/>
  <c r="E30" i="3"/>
  <c r="E52" i="2"/>
  <c r="E38" i="3"/>
  <c r="E68" i="2"/>
  <c r="I938" i="1"/>
  <c r="I2521" i="1"/>
  <c r="I2120" i="1"/>
  <c r="I3164" i="1"/>
  <c r="E26" i="3"/>
  <c r="E44" i="2"/>
  <c r="I1701" i="1"/>
  <c r="E57" i="3"/>
  <c r="E106" i="2"/>
  <c r="I1972" i="1"/>
  <c r="I657" i="1"/>
  <c r="I840" i="1"/>
  <c r="I1440" i="1"/>
  <c r="E28" i="3"/>
  <c r="E48" i="2"/>
  <c r="I2173" i="1"/>
  <c r="I2313" i="1"/>
  <c r="I3815" i="1"/>
  <c r="E70" i="3"/>
  <c r="E132" i="2"/>
  <c r="E78" i="3"/>
  <c r="E148" i="2"/>
  <c r="E12" i="3"/>
  <c r="E16" i="2"/>
  <c r="E61" i="3"/>
  <c r="E114" i="2"/>
  <c r="E11" i="3"/>
  <c r="E14" i="2"/>
  <c r="I2427" i="1"/>
  <c r="I2841" i="1"/>
  <c r="I3220" i="1"/>
  <c r="I3329" i="1"/>
  <c r="I3444" i="1"/>
  <c r="I3538" i="1"/>
  <c r="I3614" i="1"/>
  <c r="I3775" i="1"/>
  <c r="I3902" i="1"/>
  <c r="E130" i="2"/>
  <c r="E88" i="2"/>
  <c r="E138" i="2"/>
  <c r="E124" i="2"/>
  <c r="E110" i="2" l="1"/>
  <c r="E100" i="2"/>
  <c r="E49" i="3"/>
  <c r="E71" i="3"/>
  <c r="E134" i="2"/>
  <c r="E64" i="3"/>
  <c r="E120" i="2"/>
  <c r="E16" i="3"/>
  <c r="E24" i="2"/>
  <c r="E60" i="3"/>
  <c r="E112" i="2"/>
  <c r="E15" i="3"/>
  <c r="E22" i="2"/>
  <c r="E36" i="3"/>
  <c r="E64" i="2"/>
  <c r="E53" i="3"/>
  <c r="E98" i="2"/>
  <c r="E34" i="3"/>
  <c r="E60" i="2"/>
  <c r="E22" i="3"/>
  <c r="E36" i="2"/>
  <c r="E25" i="3"/>
  <c r="E42" i="2"/>
  <c r="E44" i="3"/>
  <c r="E80" i="2"/>
  <c r="E23" i="3"/>
  <c r="E38" i="2"/>
  <c r="E32" i="3"/>
  <c r="E56" i="2"/>
  <c r="E63" i="3"/>
  <c r="E118" i="2"/>
  <c r="E58" i="3"/>
  <c r="E108" i="2"/>
  <c r="E14" i="3"/>
  <c r="E20" i="2"/>
  <c r="E55" i="3"/>
  <c r="E102" i="2"/>
  <c r="E19" i="3"/>
  <c r="E30" i="2"/>
  <c r="E21" i="3"/>
  <c r="E34" i="2"/>
  <c r="E51" i="3"/>
  <c r="E94" i="2"/>
  <c r="E67" i="3"/>
  <c r="E126" i="2"/>
  <c r="E10" i="3"/>
  <c r="E12" i="2"/>
  <c r="E45" i="3"/>
  <c r="E82" i="2"/>
  <c r="E37" i="3"/>
  <c r="E66" i="2"/>
  <c r="E24" i="3"/>
  <c r="E40" i="2"/>
  <c r="E17" i="3"/>
  <c r="E26" i="2"/>
  <c r="E39" i="3"/>
  <c r="E70" i="2"/>
  <c r="E74" i="3"/>
  <c r="E140" i="2"/>
  <c r="E62" i="3"/>
  <c r="E116" i="2"/>
  <c r="E18" i="3"/>
  <c r="E28" i="2"/>
  <c r="E13" i="3"/>
  <c r="E18" i="2"/>
  <c r="E31" i="3"/>
  <c r="E54" i="2"/>
  <c r="E20" i="3"/>
  <c r="E32" i="2"/>
  <c r="E43" i="3"/>
  <c r="E78" i="2"/>
  <c r="E27" i="3"/>
  <c r="E46" i="2"/>
  <c r="E52" i="3"/>
  <c r="E96" i="2"/>
  <c r="E9" i="3"/>
  <c r="E10" i="2"/>
  <c r="E68" i="3"/>
  <c r="E128" i="2"/>
  <c r="E35" i="3"/>
  <c r="E62" i="2"/>
  <c r="E152" i="2" l="1"/>
  <c r="E81" i="3"/>
</calcChain>
</file>

<file path=xl/sharedStrings.xml><?xml version="1.0" encoding="utf-8"?>
<sst xmlns="http://schemas.openxmlformats.org/spreadsheetml/2006/main" count="10433" uniqueCount="2114">
  <si>
    <t>22-004I 10/03/2025 13:08:21 Page : 1</t>
  </si>
  <si>
    <t>Demolition &amp; Initial Earthworks</t>
  </si>
  <si>
    <t>Bill</t>
  </si>
  <si>
    <t>Section</t>
  </si>
  <si>
    <t>Page</t>
  </si>
  <si>
    <t>Ref</t>
  </si>
  <si>
    <t>Description</t>
  </si>
  <si>
    <t>Quantity</t>
  </si>
  <si>
    <t>Unit</t>
  </si>
  <si>
    <t>Rate</t>
  </si>
  <si>
    <t>Extension</t>
  </si>
  <si>
    <t>Activity</t>
  </si>
  <si>
    <t>1</t>
  </si>
  <si>
    <t>A</t>
  </si>
  <si>
    <r>
      <rPr>
        <b/>
        <u/>
        <sz val="11"/>
        <rFont val="Arial"/>
      </rPr>
      <t xml:space="preserve">C EXISTING SITE / BUILDINGS / SERVICES
C20 DEMOLITION
Refer to 22-004-PR-W-0020 DGW1 Demolition Programme Rev A 2024-09-20
Phase 1A W+M Demolition (Above ground)
Phase 1B W+M Demolition (Ground floor slabs)
Phase 1C W+M Demolition (Basements)
Phase 1D W+M Demolition (Foundations)
PHASE 1 
(Wolseley Plumb Centre)
</t>
    </r>
    <r>
      <rPr>
        <sz val="11"/>
        <rFont val="Arial"/>
      </rPr>
      <t>Asbestos removal</t>
    </r>
  </si>
  <si>
    <t>ITEM</t>
  </si>
  <si>
    <t>B</t>
  </si>
  <si>
    <t>Demolition inc soft strip and grubbing up floor slab, foundations &amp; drainage inc capping off</t>
  </si>
  <si>
    <t>C</t>
  </si>
  <si>
    <t>Process demolition arisings to 6f2 or import to 6f5, and stockpile crushed material in location to be agreed and to be used in backfilling basements and/or later piling platform works</t>
  </si>
  <si>
    <t>D</t>
  </si>
  <si>
    <t>Backfill of existing basement</t>
  </si>
  <si>
    <t>E</t>
  </si>
  <si>
    <t>Temporary works associated with the demolition methodology</t>
  </si>
  <si>
    <t>F</t>
  </si>
  <si>
    <r>
      <rPr>
        <b/>
        <u/>
        <sz val="11"/>
        <rFont val="Arial"/>
      </rPr>
      <t xml:space="preserve">Support of roads and the like
Support of roads/ footpaths due to tightness of sight; potential temporary support required to form foundations; as drawing ZO-SL-DR-A-1010 P01
</t>
    </r>
    <r>
      <rPr>
        <sz val="11"/>
        <rFont val="Arial"/>
      </rPr>
      <t>To be designed</t>
    </r>
  </si>
  <si>
    <t>Undertake all necessary works to retain the existing Highway</t>
  </si>
  <si>
    <t>G</t>
  </si>
  <si>
    <r>
      <rPr>
        <b/>
        <u/>
        <sz val="11"/>
        <rFont val="Arial"/>
      </rPr>
      <t xml:space="preserve">Mobility Store
2A - TC Phase B Demolition (Above ground)
2B - TC Phase A Demolition (Above ground)
2C - TC Phase A Demolition (Ground slabs)
2D - TC Phase A Demolition (Foundations)
</t>
    </r>
    <r>
      <rPr>
        <sz val="11"/>
        <rFont val="Arial"/>
      </rPr>
      <t>Asbestos removal</t>
    </r>
  </si>
  <si>
    <t>H</t>
  </si>
  <si>
    <r>
      <rPr>
        <b/>
        <u/>
        <sz val="11"/>
        <rFont val="Arial"/>
      </rPr>
      <t xml:space="preserve">Existing gully pot, grate and frame to be taken up and removed from site, resulting void to be infilled with ST5 concrete mix and vibrated to remove any air bubbles
</t>
    </r>
    <r>
      <rPr>
        <sz val="11"/>
        <rFont val="Arial"/>
      </rPr>
      <t>generally</t>
    </r>
  </si>
  <si>
    <t>no</t>
  </si>
  <si>
    <t>J</t>
  </si>
  <si>
    <t>K</t>
  </si>
  <si>
    <t>L</t>
  </si>
  <si>
    <t>M</t>
  </si>
  <si>
    <t>N</t>
  </si>
  <si>
    <r>
      <rPr>
        <b/>
        <u/>
        <sz val="11"/>
        <rFont val="Arial"/>
      </rPr>
      <t xml:space="preserve">General Items
</t>
    </r>
    <r>
      <rPr>
        <sz val="11"/>
        <rFont val="Arial"/>
      </rPr>
      <t>Break out and remove all hardstandings</t>
    </r>
  </si>
  <si>
    <t>O</t>
  </si>
  <si>
    <t>Demolish site external brick walls inc grubbing up foundations</t>
  </si>
  <si>
    <t>P</t>
  </si>
  <si>
    <t>Remove all external site furniture</t>
  </si>
  <si>
    <t>Q</t>
  </si>
  <si>
    <r>
      <rPr>
        <b/>
        <u/>
        <sz val="11"/>
        <rFont val="Arial"/>
      </rPr>
      <t xml:space="preserve">PHASE 2 (Trafford Court Demolition)
2A - TC Phase B Demolition (Above ground)
2B - TC Phase A Demolition (Above ground)
2C - TC Phase A Demolition (Ground slabs)
2D - TC Phase A Demolition (Foundations)
Phase/Building B
</t>
    </r>
    <r>
      <rPr>
        <sz val="11"/>
        <rFont val="Arial"/>
      </rPr>
      <t>Asbestos removal</t>
    </r>
  </si>
  <si>
    <t>R</t>
  </si>
  <si>
    <t>Demolition inc soft strip (Ground floor slab and foundations to be retained to be utilised as temporary site cabin platform - removed later in the construction programme by others)</t>
  </si>
  <si>
    <t>S</t>
  </si>
  <si>
    <t>T</t>
  </si>
  <si>
    <t>U</t>
  </si>
  <si>
    <t>Remove existing guardrail and retain for future use</t>
  </si>
  <si>
    <t>V</t>
  </si>
  <si>
    <t>Break out and remove concrete bollards</t>
  </si>
  <si>
    <t>W</t>
  </si>
  <si>
    <t>Disconnect and remove parking barrier</t>
  </si>
  <si>
    <t>X</t>
  </si>
  <si>
    <r>
      <rPr>
        <b/>
        <u/>
        <sz val="11"/>
        <rFont val="Arial"/>
      </rPr>
      <t xml:space="preserve">Phase/Building A
</t>
    </r>
    <r>
      <rPr>
        <sz val="11"/>
        <rFont val="Arial"/>
      </rPr>
      <t>Asbestos removal</t>
    </r>
  </si>
  <si>
    <t>Y</t>
  </si>
  <si>
    <t>Z</t>
  </si>
  <si>
    <t>Break out and remove existing building access ramp</t>
  </si>
  <si>
    <t>AA</t>
  </si>
  <si>
    <t>AB</t>
  </si>
  <si>
    <r>
      <rPr>
        <b/>
        <u/>
        <sz val="11"/>
        <rFont val="Arial"/>
      </rPr>
      <t xml:space="preserve">PHASE 3 (Wolseley Site Earthworks)
As Ph 3 cut &amp; fill strategy scope plan
</t>
    </r>
    <r>
      <rPr>
        <sz val="11"/>
        <rFont val="Arial"/>
      </rPr>
      <t>Install piling platform; 700mm thick. Top level +14.085 from demolition arsings or imported material if required. THIS ITEM IS TO INCLUDE ALL SITE REMEDIATION CUT/FILL WORKS FROM DEMO WORKS TO TOP OF PILING MATT</t>
    </r>
  </si>
  <si>
    <t>AC</t>
  </si>
  <si>
    <t>Remove all obstructions in piling platform area to a depth of 1.5m (As Ph 3 cut &amp; fill strategy scope plan)</t>
  </si>
  <si>
    <t>AD</t>
  </si>
  <si>
    <r>
      <rPr>
        <b/>
        <u/>
        <sz val="11"/>
        <rFont val="Arial"/>
      </rPr>
      <t xml:space="preserve">Traffic Management
</t>
    </r>
    <r>
      <rPr>
        <sz val="11"/>
        <rFont val="Arial"/>
      </rPr>
      <t>Traffic management alowance during demolition Phase for transportig materials between sites A &amp; B</t>
    </r>
  </si>
  <si>
    <t>1/1/1</t>
  </si>
  <si>
    <t xml:space="preserve">To Collection: </t>
  </si>
  <si>
    <t>22-004I 10/03/2025 13:08:21 Page : 2</t>
  </si>
  <si>
    <r>
      <rPr>
        <b/>
        <u/>
        <sz val="11"/>
        <rFont val="Arial"/>
      </rPr>
      <t xml:space="preserve">Removing fittings and fixtures
Side inlet gully to be taken up and removed from site, existing connection to be retained
</t>
    </r>
    <r>
      <rPr>
        <sz val="11"/>
        <rFont val="Arial"/>
      </rPr>
      <t>generally</t>
    </r>
  </si>
  <si>
    <r>
      <rPr>
        <b/>
        <u/>
        <sz val="11"/>
        <rFont val="Arial"/>
      </rPr>
      <t xml:space="preserve">Existing non-illuminated traffic sign, pole and concrete foundation to be taken up and sign removed to tip
</t>
    </r>
    <r>
      <rPr>
        <sz val="11"/>
        <rFont val="Arial"/>
      </rPr>
      <t>generally</t>
    </r>
  </si>
  <si>
    <r>
      <rPr>
        <b/>
        <u/>
        <sz val="11"/>
        <rFont val="Arial"/>
      </rPr>
      <t xml:space="preserve">Existing bin to be taken up and removed to tip off site and replaced with new bin, relocation position to be outlined by CoDC
</t>
    </r>
    <r>
      <rPr>
        <sz val="11"/>
        <rFont val="Arial"/>
      </rPr>
      <t>generally</t>
    </r>
  </si>
  <si>
    <r>
      <rPr>
        <b/>
        <u/>
        <sz val="11"/>
        <rFont val="Arial"/>
      </rPr>
      <t xml:space="preserve">Works to existing
Existing water stop valve to be adjusted to new footway level using class B Engineering bricks in class 1 mortar, any damaged valves to be replaced with new
</t>
    </r>
    <r>
      <rPr>
        <sz val="11"/>
        <rFont val="Arial"/>
      </rPr>
      <t>generally</t>
    </r>
  </si>
  <si>
    <t>1/1/2</t>
  </si>
  <si>
    <t>22-004I 10/03/2025 13:08:21 Page : 3</t>
  </si>
  <si>
    <r>
      <rPr>
        <b/>
        <u/>
        <sz val="11"/>
        <rFont val="Arial"/>
      </rPr>
      <t xml:space="preserve">Works to existing
Existing manhole/ inspection chambers, covers and frames to be adjusted to match new levels in carriageway, new D400 covers required and class B engineering brick with class 1 mortar bed to be finished surface course, any polished or damaged covers will need replacing
</t>
    </r>
    <r>
      <rPr>
        <sz val="11"/>
        <rFont val="Arial"/>
      </rPr>
      <t>generally</t>
    </r>
  </si>
  <si>
    <r>
      <rPr>
        <b/>
        <u/>
        <sz val="11"/>
        <rFont val="Arial"/>
      </rPr>
      <t xml:space="preserve">Existing manhole/ inspection chambers, covers and frames located in the footway to be adjusted to match new levels, new covers and frames to be used
</t>
    </r>
    <r>
      <rPr>
        <sz val="11"/>
        <rFont val="Arial"/>
      </rPr>
      <t>generally</t>
    </r>
  </si>
  <si>
    <r>
      <rPr>
        <b/>
        <u/>
        <sz val="11"/>
        <rFont val="Arial"/>
      </rPr>
      <t xml:space="preserve">Existing gas inspection chamber to be adjusted to suit new levels
</t>
    </r>
    <r>
      <rPr>
        <sz val="11"/>
        <rFont val="Arial"/>
      </rPr>
      <t>generally</t>
    </r>
  </si>
  <si>
    <r>
      <rPr>
        <b/>
        <u/>
        <sz val="11"/>
        <rFont val="Arial"/>
      </rPr>
      <t xml:space="preserve">D GROUNDWORK
D20 EXCAVATING AND FILLING
Excavating
To reduce levels
</t>
    </r>
    <r>
      <rPr>
        <sz val="11"/>
        <rFont val="Arial"/>
      </rPr>
      <t>0.25 m maximum depth</t>
    </r>
  </si>
  <si>
    <t>m3</t>
  </si>
  <si>
    <t>1/1/3</t>
  </si>
  <si>
    <t>22-004I 10/03/2025 13:08:21 Page : 4</t>
  </si>
  <si>
    <r>
      <rPr>
        <b/>
        <u/>
        <sz val="11"/>
        <rFont val="Arial"/>
      </rPr>
      <t xml:space="preserve">Breaking out existing materials
Break out existing kerb/ channel/ edging plus concrete bed and haunch; to be either reused or recycled for fill
</t>
    </r>
    <r>
      <rPr>
        <sz val="11"/>
        <rFont val="Arial"/>
      </rPr>
      <t>kerb/ channel or edging</t>
    </r>
  </si>
  <si>
    <t>m</t>
  </si>
  <si>
    <t>linear drain unit</t>
  </si>
  <si>
    <r>
      <rPr>
        <b/>
        <u/>
        <sz val="11"/>
        <rFont val="Arial"/>
      </rPr>
      <t xml:space="preserve">Disposal
Disposal of water
</t>
    </r>
    <r>
      <rPr>
        <sz val="11"/>
        <rFont val="Arial"/>
      </rPr>
      <t>surface water</t>
    </r>
  </si>
  <si>
    <t>ground water</t>
  </si>
  <si>
    <r>
      <rPr>
        <b/>
        <u/>
        <sz val="11"/>
        <rFont val="Arial"/>
      </rPr>
      <t xml:space="preserve">Excavated material
</t>
    </r>
    <r>
      <rPr>
        <sz val="11"/>
        <rFont val="Arial"/>
      </rPr>
      <t>off site</t>
    </r>
  </si>
  <si>
    <t>1/1/4</t>
  </si>
  <si>
    <t>Collection Sheet</t>
  </si>
  <si>
    <t>£ p</t>
  </si>
  <si>
    <t>Page Total : 1/1/1</t>
  </si>
  <si>
    <t>Page Total : 1/1/2</t>
  </si>
  <si>
    <t>Page Total : 1/1/3</t>
  </si>
  <si>
    <t>Page Total : 1/1/4</t>
  </si>
  <si>
    <t xml:space="preserve">Total : </t>
  </si>
  <si>
    <t>22-004I 10/03/2025 13:08:21 Page : 6</t>
  </si>
  <si>
    <t>Substructure</t>
  </si>
  <si>
    <t>2</t>
  </si>
  <si>
    <r>
      <rPr>
        <b/>
        <u/>
        <sz val="11"/>
        <rFont val="Arial"/>
      </rPr>
      <t xml:space="preserve">SUBSTRUCTURES
Excavating and Filling
</t>
    </r>
    <r>
      <rPr>
        <sz val="11"/>
        <rFont val="Arial"/>
      </rPr>
      <t>Site strip measured and working platform included in Demoltion Phase 1 Package.</t>
    </r>
  </si>
  <si>
    <t>Item</t>
  </si>
  <si>
    <t>Excavations commence from a working platform level of +14.085m</t>
  </si>
  <si>
    <r>
      <rPr>
        <b/>
        <u/>
        <sz val="11"/>
        <rFont val="Arial"/>
      </rPr>
      <t xml:space="preserve">Excavating
</t>
    </r>
    <r>
      <rPr>
        <sz val="11"/>
        <rFont val="Arial"/>
      </rPr>
      <t>To reduce levels &lt; 1.00m deep</t>
    </r>
  </si>
  <si>
    <t>Trenches for ground beams; not exceeding 1.00m deep</t>
  </si>
  <si>
    <t>Pits for pile caps &lt; 1.00m deep</t>
  </si>
  <si>
    <t>Pits for pile caps &lt; 2.00m deep</t>
  </si>
  <si>
    <t>Pits for pile caps &lt; 4.00m deep</t>
  </si>
  <si>
    <t>Lift pit base &lt; 2.00m deep</t>
  </si>
  <si>
    <r>
      <rPr>
        <b/>
        <u/>
        <sz val="11"/>
        <rFont val="Arial"/>
      </rPr>
      <t xml:space="preserve">Working space allowance to excavations; backfilling with selected excavated material
</t>
    </r>
    <r>
      <rPr>
        <sz val="11"/>
        <rFont val="Arial"/>
      </rPr>
      <t>Foundations</t>
    </r>
  </si>
  <si>
    <t>m2</t>
  </si>
  <si>
    <r>
      <rPr>
        <b/>
        <u/>
        <sz val="11"/>
        <rFont val="Arial"/>
      </rPr>
      <t xml:space="preserve">Earthwork Support
</t>
    </r>
    <r>
      <rPr>
        <sz val="11"/>
        <rFont val="Arial"/>
      </rPr>
      <t>Not exceeding 1.00m deep</t>
    </r>
  </si>
  <si>
    <t>Not exceeding 2.00m deep</t>
  </si>
  <si>
    <t>Not exceeding 4.00m deep</t>
  </si>
  <si>
    <r>
      <rPr>
        <b/>
        <u/>
        <sz val="11"/>
        <rFont val="Arial"/>
      </rPr>
      <t xml:space="preserve">Disposal
</t>
    </r>
    <r>
      <rPr>
        <sz val="11"/>
        <rFont val="Arial"/>
      </rPr>
      <t>Surface water</t>
    </r>
  </si>
  <si>
    <t>Ground water?</t>
  </si>
  <si>
    <t>Remove excavated material; off site</t>
  </si>
  <si>
    <t>2/1/1</t>
  </si>
  <si>
    <t>22-004I 10/03/2025 13:08:21 Page : 7</t>
  </si>
  <si>
    <r>
      <rPr>
        <b/>
        <u/>
        <sz val="11"/>
        <rFont val="Arial"/>
      </rPr>
      <t xml:space="preserve">Surface Treatments
</t>
    </r>
    <r>
      <rPr>
        <sz val="11"/>
        <rFont val="Arial"/>
      </rPr>
      <t>Level and compact formation level; blind with 50mm thick soft sand (building footprint)</t>
    </r>
  </si>
  <si>
    <t>Additional 15mm thick soft sand blinding beneath bin store / switch room slabs to make up levels (Note: Uninsulated slab)</t>
  </si>
  <si>
    <r>
      <rPr>
        <b/>
        <u/>
        <sz val="11"/>
        <rFont val="Arial"/>
      </rPr>
      <t xml:space="preserve">Piling
</t>
    </r>
    <r>
      <rPr>
        <sz val="11"/>
        <rFont val="Arial"/>
      </rPr>
      <t>Note: Piling platform included as part of Phase 1 Demolition works.
Piling to Specialist's Design; as indicated on drawing BJB-Z1-FN-DR-S-00103</t>
    </r>
  </si>
  <si>
    <t>Bring to site all piling plant</t>
  </si>
  <si>
    <t>Remove all piling plant on completion</t>
  </si>
  <si>
    <t>Pre boring pile positions</t>
  </si>
  <si>
    <t>Nr</t>
  </si>
  <si>
    <t>Piles; CFA 450mm diameter (Including boring, concrete &amp; reinforcement)</t>
  </si>
  <si>
    <t>Additional pile length allowance</t>
  </si>
  <si>
    <t>item</t>
  </si>
  <si>
    <t>Move piling rig between pile positions</t>
  </si>
  <si>
    <t>Cut off top of piles, prepare for pile caps</t>
  </si>
  <si>
    <t>Remove arisings from piling from site (assumes 450mm diameter x 10m long piles)</t>
  </si>
  <si>
    <t>Concrete cube tests</t>
  </si>
  <si>
    <t>Integrity test visit</t>
  </si>
  <si>
    <t>Integrity tests</t>
  </si>
  <si>
    <t>Static load test</t>
  </si>
  <si>
    <t>Debonding of reinforcement</t>
  </si>
  <si>
    <t>Setting out</t>
  </si>
  <si>
    <t>Standing time allowance</t>
  </si>
  <si>
    <t>Hrs</t>
  </si>
  <si>
    <r>
      <rPr>
        <b/>
        <u/>
        <sz val="11"/>
        <rFont val="Arial"/>
      </rPr>
      <t xml:space="preserve">In Situ Concrete
Plain Concrete Grade GEN1
</t>
    </r>
    <r>
      <rPr>
        <sz val="11"/>
        <rFont val="Arial"/>
      </rPr>
      <t>Chamfered mortar fillet to outer face of upstand to bin store / switch room; as drawing BBA-Z1-ZZ-DR-A-7673</t>
    </r>
  </si>
  <si>
    <t>Filling hollow walls; as NBS F30/110 and drawings BBA-Z1-ZZ-DR-A-7670, 7673, 7674 &amp; 7073</t>
  </si>
  <si>
    <t>Blinding beds to excavated surfaces for ground beams and lift pit base; 50mm thick</t>
  </si>
  <si>
    <t>Mass concrete infill from top of lift base to underside of ground beams and overpour from side of ground beams to side of lift pit walls; as drawing BJB-Z1-FN-DR-S-0105</t>
  </si>
  <si>
    <t>Column encasements to external columns</t>
  </si>
  <si>
    <t>2/1/2</t>
  </si>
  <si>
    <t>22-004I 10/03/2025 13:08:21 Page : 8</t>
  </si>
  <si>
    <r>
      <rPr>
        <b/>
        <u/>
        <sz val="11"/>
        <rFont val="Arial"/>
      </rPr>
      <t xml:space="preserve">Reinforced Concrete Grade RC32/40; DS-2; AC-2; as NBS E05 &amp; E10/105 Type A and drawings BJB-Z1-FN-DR-S-0100, 0101, 0102, 1014, 0105 &amp; 0106
</t>
    </r>
    <r>
      <rPr>
        <sz val="11"/>
        <rFont val="Arial"/>
      </rPr>
      <t>Ground Beams</t>
    </r>
  </si>
  <si>
    <t>Pile Caps</t>
  </si>
  <si>
    <t>Lift pit base</t>
  </si>
  <si>
    <t>Lift pit walls</t>
  </si>
  <si>
    <r>
      <rPr>
        <b/>
        <u/>
        <sz val="11"/>
        <rFont val="Arial"/>
      </rPr>
      <t xml:space="preserve">Reinforced Concrete Grade RC28/35; as NBS E05 &amp; E10/105A and drawings BJB-Z1-FN-DR-S-0101, 0102 &amp; 0110
</t>
    </r>
    <r>
      <rPr>
        <sz val="11"/>
        <rFont val="Arial"/>
      </rPr>
      <t>Ground floor slabs and thickenings; 250mm thick slab</t>
    </r>
  </si>
  <si>
    <t>Upstands; 140mm thick</t>
  </si>
  <si>
    <r>
      <rPr>
        <b/>
        <u/>
        <sz val="11"/>
        <rFont val="Arial"/>
      </rPr>
      <t xml:space="preserve">Formwork for In Situ Concrete; as NBS E20
</t>
    </r>
    <r>
      <rPr>
        <sz val="11"/>
        <rFont val="Arial"/>
      </rPr>
      <t>Sides of ground beams; 250 - 500mm high</t>
    </r>
  </si>
  <si>
    <t>Sides of ground beams; 500mm - 1.00m high</t>
  </si>
  <si>
    <t>Sides of pile caps; 500mm - 1.00m high</t>
  </si>
  <si>
    <t>Sides of pile caps; exceeding 1.00m high</t>
  </si>
  <si>
    <t>Edge of lift pit base; 500mm - 1.00m high</t>
  </si>
  <si>
    <t>Kickers to lift pit walls, both sides suspended</t>
  </si>
  <si>
    <t>Vertical sides of lift pit walls, 500 - 1000mm high</t>
  </si>
  <si>
    <t>Sides of ground floor slabs, including thickening where required; 250 - 500mm high</t>
  </si>
  <si>
    <t>Sides of upstands; not exceeding 250mm high</t>
  </si>
  <si>
    <t>To external column encasements, stepped around baseplates; 500 x 500 x 150mm</t>
  </si>
  <si>
    <t>At changes in slab level; 75mm high</t>
  </si>
  <si>
    <t>Form 30mm recesses in slab for finishes; top layer of slab reinforcement to be depressed locally to maintain required concrete cover (4Nr locations)</t>
  </si>
  <si>
    <t>Form 1250 x 315 x 75mm deep recesses in ground floor slab for door frame cill fixing; as drawings BJB-Z1-FN-DR-S-0110 &amp; BBA-Z1-ZZ-DR-A-7077</t>
  </si>
  <si>
    <t>Form 2050 x 315 x 75mm deep recesses in ground floor slab for door frame cill fixing; as drawings BJB-Z1-FN-DR-S-0110 &amp; BBA-Z1-ZZ-DR-A-7077</t>
  </si>
  <si>
    <t>2/1/3</t>
  </si>
  <si>
    <t>22-004I 10/03/2025 13:08:21 Page : 9</t>
  </si>
  <si>
    <r>
      <rPr>
        <b/>
        <u/>
        <sz val="11"/>
        <rFont val="Arial"/>
      </rPr>
      <t xml:space="preserve">Reinforcement for In Situ Concrete; as NBS E30 and drawings BJB-Z1-FN-DR-S-0100, 0104 &amp;0110
</t>
    </r>
    <r>
      <rPr>
        <sz val="11"/>
        <rFont val="Arial"/>
      </rPr>
      <t>Bar reinforcement in ground beams; formed with traditional cages, straight and bent bars, shear links etc.</t>
    </r>
  </si>
  <si>
    <t>t</t>
  </si>
  <si>
    <t>Bar reinforcement in pile caps; formed with traditional cages and bent bars</t>
  </si>
  <si>
    <t>Bar reinforcement in lift pit base; formed with loose straight bars, both directions top and bottom of base with U-bars to perimeter</t>
  </si>
  <si>
    <t>Bar reinforcement in lift pit walls (assumed 100kg/m³)</t>
  </si>
  <si>
    <t>Bar reinforcement in ground floor slabs; formed with loose straight bars, both directions top and bottom of slab with U-bars to perimeter and edges of openings</t>
  </si>
  <si>
    <t>U-bar reinforcement at 200mm centres with straight distribution bars; to tie upstands into main slab</t>
  </si>
  <si>
    <r>
      <rPr>
        <b/>
        <u/>
        <sz val="11"/>
        <rFont val="Arial"/>
      </rPr>
      <t xml:space="preserve">Joints in In Situ Concrete
</t>
    </r>
    <r>
      <rPr>
        <sz val="11"/>
        <rFont val="Arial"/>
      </rPr>
      <t>No isolation joints or construction joints required
Finishes to In Situ Concrete; as NBS E41</t>
    </r>
  </si>
  <si>
    <t>Basic finish to blinding (asumed)</t>
  </si>
  <si>
    <t>Basic finish to tops of foundations; mechanical compaction</t>
  </si>
  <si>
    <t>Smooth finish to tops of upstands; 140mm wide (assumed)</t>
  </si>
  <si>
    <t>Smooth finish to sides of upstands; not exceding 250mm high (assumed)</t>
  </si>
  <si>
    <t>Smooth power floated finish to slabs (assumed)</t>
  </si>
  <si>
    <t>Prepare and apply curing compound, sealer and hardener to ground floor slab; sprayed curing membrane not permitted when subsequent concrete surface treatment has been specified; as note on drawing BJB-Z1-FN-DR-S-0110</t>
  </si>
  <si>
    <t>2/1/4</t>
  </si>
  <si>
    <t>22-004I 10/03/2025 13:08:21 Page : 10</t>
  </si>
  <si>
    <r>
      <rPr>
        <b/>
        <u/>
        <sz val="11"/>
        <rFont val="Arial"/>
      </rPr>
      <t xml:space="preserve">Accessories cast into In-Situ Concrete
</t>
    </r>
    <r>
      <rPr>
        <sz val="11"/>
        <rFont val="Arial"/>
      </rPr>
      <t>Cast in HD bolt systems (supplied by others); as NBS E42/310</t>
    </r>
  </si>
  <si>
    <t>Cast in templates for base plates to steel stanchions</t>
  </si>
  <si>
    <t>Grout under base plates with non-shrink grout</t>
  </si>
  <si>
    <t>1000mm long H10 anti-crack bars to columns; 2 x 2Nr (top and bottom) to perimeter columns and 4 x 2Nr (top and bottom) to internal columns; as drawing BJB-Z1-FN-DR-S-0110</t>
  </si>
  <si>
    <t>Allow for casting dowel bars into slab at base of PCC stair; to be detailed and provided by PCC stair supplier; as drawing BJB-Z1-FN-DR-S-0102</t>
  </si>
  <si>
    <t>Allow for casting dowels into lift pit walls at PCC lift shaft wall locations; location and quantity to be confirmed by PCC shaft supplier / manufacturer; as drawing BJB-Z1-FN-DR-S-0105 P04</t>
  </si>
  <si>
    <t>Flexible waterstops to base of concrete upstands; Visqueen; as NBS E40/310 &amp; drawings BBA-Z1-ZZ-DR-A-7670 &amp; 7673</t>
  </si>
  <si>
    <t>Form holes in slab for 150mm diameter RWP</t>
  </si>
  <si>
    <t>Form holes in slab for 110mm diameter SVP's; as drawings SDA-Z1-00-DR-P-5201 &amp; 5202</t>
  </si>
  <si>
    <t>Form holes in slab for floor gulleys; as drawings SDA-Z1-00-DR-P-5201 &amp; 5202</t>
  </si>
  <si>
    <t>Form holes in slab for shower tray connection; as drawings SDA-Z1-00-DR-P-5201 &amp; 5202</t>
  </si>
  <si>
    <t>Form holes through foundations for drains, including pipe sleeves and additional thickenings as required; as details on drawing BJB-Z0-SL-DR-C-0612</t>
  </si>
  <si>
    <t>2/1/5</t>
  </si>
  <si>
    <t>22-004I 10/03/2025 13:08:21 Page : 11</t>
  </si>
  <si>
    <r>
      <rPr>
        <b/>
        <u/>
        <sz val="11"/>
        <rFont val="Arial"/>
      </rPr>
      <t xml:space="preserve">Brickwork and Blockwork
Clay facing brickwork Type A; La Paloma Glazed Verde Termilino; 10mm dark grey mortar joints, half lap stretcher bond and bucket handle joints; as F10/110A and drawings BBA-Z1-ZZ-DR-A-7670, 7673, 7674, 7072 &amp; 7073
</t>
    </r>
    <r>
      <rPr>
        <sz val="11"/>
        <rFont val="Arial"/>
      </rPr>
      <t>Half brick thick</t>
    </r>
  </si>
  <si>
    <t>Extra over for 3 courses of clay facing brickwork Type B at bottom of wall; La Paloma Pirineo Brillo; as NBS F10/110B (Note: Could this be standard engineering brickwork?)</t>
  </si>
  <si>
    <t>Extra over for specials to suit splay to NW façade column on Grid 9/C (external angle); as drawing BBA-Z1-ZZ-DR-A-7650</t>
  </si>
  <si>
    <t>Extra over for specials to suit NW façade column on Grid 9/C (internal angle); as drawing BBA-Z1-ZZ-DR-A-7650</t>
  </si>
  <si>
    <t>Extra over for specials to suit splay to NW façade column on Grid 10/A (external angle); as drawing BBA-Z1-ZZ-DR-A-7653</t>
  </si>
  <si>
    <t>Reveals / closing cavities below ground; vertically; as drawing 7072</t>
  </si>
  <si>
    <t>Extra over for 3 courses of clay facing brickwork Type B at bottom of reveals; La Paloma Pirineo Brillo; as NBS F10/110B (Note: Could this be standard engineering brickwork?)</t>
  </si>
  <si>
    <r>
      <rPr>
        <b/>
        <u/>
        <sz val="11"/>
        <rFont val="Arial"/>
      </rPr>
      <t xml:space="preserve">Accessories to Brickwork and Blockwork
</t>
    </r>
    <r>
      <rPr>
        <sz val="11"/>
        <rFont val="Arial"/>
      </rPr>
      <t>Form 122.5mm wide cavity between brickwork and thickened slab edge; 30mm partial fill Styrene EPS 100 insulation; as NBS M10/290 and drawings BBA-Z1-ZZ-DR-A-7670, 7673, 7674 &amp; 7073</t>
    </r>
  </si>
  <si>
    <r>
      <rPr>
        <b/>
        <u/>
        <sz val="11"/>
        <rFont val="Arial"/>
      </rPr>
      <t xml:space="preserve">Non-Combustible cavity tray DPC; Visqueen Zedex CPT High Performance DPC; as NBS F30/330 and drawings BBA-Z1-ZZ-DR-A-7670, 7673 &amp; 7674
</t>
    </r>
    <r>
      <rPr>
        <sz val="11"/>
        <rFont val="Arial"/>
      </rPr>
      <t>Girth exceeding 225mm</t>
    </r>
  </si>
  <si>
    <r>
      <rPr>
        <b/>
        <u/>
        <sz val="11"/>
        <rFont val="Arial"/>
      </rPr>
      <t xml:space="preserve">Perpend joint weep holes; Rytons RYTWEA1METAL - Rytons A1® Fire-rated Metal Rytweep; non-combustible metal zinc coated; as NBS F30/132 and drawings BBA-Z1-ZZ-DR-A-7670, 7673 &amp; 7674
</t>
    </r>
    <r>
      <rPr>
        <sz val="11"/>
        <rFont val="Arial"/>
      </rPr>
      <t>Above cavity trays at maximum 1000mm centres</t>
    </r>
  </si>
  <si>
    <r>
      <rPr>
        <b/>
        <u/>
        <sz val="11"/>
        <rFont val="Arial"/>
      </rPr>
      <t xml:space="preserve">Screeding
Quick drying screed; Isocrete Heavy Duty Fast K- Screed; as NBS M10/130 and drawings BJB-Z1-FN-DR-S-0110 &amp; BBA-Z1-ZZ-DR-A-7077
</t>
    </r>
    <r>
      <rPr>
        <sz val="11"/>
        <rFont val="Arial"/>
      </rPr>
      <t>75mm thick screed infill at door fixing locations</t>
    </r>
  </si>
  <si>
    <t>2/1/6</t>
  </si>
  <si>
    <t>22-004I 10/03/2025 13:08:21 Page : 12</t>
  </si>
  <si>
    <r>
      <rPr>
        <b/>
        <u/>
        <sz val="11"/>
        <rFont val="Arial"/>
      </rPr>
      <t xml:space="preserve">Insulation
Below Slab Expanded Polystyrene Insulation Type A; Styrene EPS 100 insulation; as NBS M10/290 and drawings BBA-Z1-ZZ-DR-A-7670, 7674, 7072 &amp; 7073
</t>
    </r>
    <r>
      <rPr>
        <sz val="11"/>
        <rFont val="Arial"/>
      </rPr>
      <t>90mm thick; horizontal under slabs</t>
    </r>
  </si>
  <si>
    <t>90mm thick; vertical to lift pit walls</t>
  </si>
  <si>
    <t>30mm thick; vertical; against slab edge thickening at external door locations</t>
  </si>
  <si>
    <r>
      <rPr>
        <b/>
        <u/>
        <sz val="11"/>
        <rFont val="Arial"/>
      </rPr>
      <t xml:space="preserve">Inorganic Recycled Glass Insulation; FOAMGLAS Slab T3+;Euroclass A2 Adhesive &amp; Coating Euroclass FOAMGLAS PC164 between insulation and waterproofing membrane; as NBS P10/217B and drawings BBA-Z1-ZZ-DR-A-7670 &amp; 7674
</t>
    </r>
    <r>
      <rPr>
        <sz val="11"/>
        <rFont val="Arial"/>
      </rPr>
      <t>90mm thick; fixed back to outer face of concrete upstand</t>
    </r>
  </si>
  <si>
    <r>
      <rPr>
        <b/>
        <u/>
        <sz val="11"/>
        <rFont val="Arial"/>
      </rPr>
      <t xml:space="preserve">Flexible Sheet Tanking / Damp Proof Membranes
</t>
    </r>
    <r>
      <rPr>
        <sz val="11"/>
        <rFont val="Arial"/>
      </rPr>
      <t>Note: Ground water proofing CS1 Status to be designed by specialist subcontractor to suit site ground conditions in accordance with BS8102: 2022 Code of Practice for Protection of Below Ground Structures against Water Ingress. All damp proofing/tanking/water proofing/gas protection to foundations, lift pits, retaining structures and ground floor slabs to be installed in accordance with manufacturers standard working details, recommendations and best practice guidance.
Visqueen Loose Laid Polyethylene High Performance Damp Proof Membrane; 2000 gauge; including all system components and accessories as required; as NBS J40/120 and drawings BBA-Z1-ZZ-DR-A-7670, 7673, 7674, 7072 &amp; 7073</t>
    </r>
  </si>
  <si>
    <t>Horizontal; beneath slabs</t>
  </si>
  <si>
    <r>
      <rPr>
        <b/>
        <u/>
        <sz val="11"/>
        <rFont val="Arial"/>
      </rPr>
      <t xml:space="preserve">Visqueen Self Adhesive Bitumen Damp Proof Membrane; including all primers, system components and accessories as required; as NBS J40/190 and drawings BBA-Z1-ZZ-DR-A-7670, 7673, 7674, 7072 &amp; 7073
</t>
    </r>
    <r>
      <rPr>
        <sz val="11"/>
        <rFont val="Arial"/>
      </rPr>
      <t>Horizontal &amp; vertical; around perimeter thickenings and upstands, to base of external walls and around lift pit; lapped with loose laid DPM</t>
    </r>
  </si>
  <si>
    <t>Horizontal &amp; vertical; as Visqueen standard column sealing details HP-52; as indicated on drawing 7674 (Note: Assumed to all columns)</t>
  </si>
  <si>
    <r>
      <rPr>
        <b/>
        <u/>
        <sz val="11"/>
        <rFont val="Arial"/>
      </rPr>
      <t xml:space="preserve">Visqueen TreadGUARD 1500 / Visqueen Protectadrain Protection boards for damp proofing / tanking; including all system components and accessories as required; as NBS J40/380 and drawing BBA-Z1-ZZ-DR-A-7674
</t>
    </r>
    <r>
      <rPr>
        <sz val="11"/>
        <rFont val="Arial"/>
      </rPr>
      <t>Horizontal; beneath PCC lift pit and to ground beam adjacent lift</t>
    </r>
  </si>
  <si>
    <t>2/1/7</t>
  </si>
  <si>
    <t>Page Total : 2/1/1</t>
  </si>
  <si>
    <t>Page Total : 2/1/2</t>
  </si>
  <si>
    <t>Page Total : 2/1/3</t>
  </si>
  <si>
    <t>Page Total : 2/1/4</t>
  </si>
  <si>
    <t>Page Total : 2/1/5</t>
  </si>
  <si>
    <t>Page Total : 2/1/6</t>
  </si>
  <si>
    <t>Page Total : 2/1/7</t>
  </si>
  <si>
    <t>22-004I 10/03/2025 13:08:21 Page : 14</t>
  </si>
  <si>
    <t>Frame</t>
  </si>
  <si>
    <t>3</t>
  </si>
  <si>
    <r>
      <rPr>
        <b/>
        <u/>
        <sz val="11"/>
        <rFont val="Arial"/>
      </rPr>
      <t xml:space="preserve">FRAME
G Structural/Carcassing metal/timber
G10 Structural steel framing
To be priced in accordance with relevant BJB Consulting Ltd structural drawings and section G10 of BJB Consulting Ltd specification ref DGW1-BJB-XX-XX-SP-S-00001-P02 dated 6 December 2023
</t>
    </r>
    <r>
      <rPr>
        <sz val="11"/>
        <rFont val="Arial"/>
      </rPr>
      <t>Specialist design; connections</t>
    </r>
  </si>
  <si>
    <r>
      <rPr>
        <b/>
        <u/>
        <sz val="11"/>
        <rFont val="Arial"/>
      </rPr>
      <t xml:space="preserve">columns
</t>
    </r>
    <r>
      <rPr>
        <sz val="11"/>
        <rFont val="Arial"/>
      </rPr>
      <t>Allow for columns to be spliced 500mm above Level 02</t>
    </r>
  </si>
  <si>
    <t>weight not exceeding 40kg/m</t>
  </si>
  <si>
    <t>weight 40 - 100kg/m</t>
  </si>
  <si>
    <t>weight exceeding 100kg/m</t>
  </si>
  <si>
    <r>
      <rPr>
        <b/>
        <u/>
        <sz val="11"/>
        <rFont val="Arial"/>
      </rPr>
      <t xml:space="preserve">columns; hollow; circular
</t>
    </r>
    <r>
      <rPr>
        <sz val="11"/>
        <rFont val="Arial"/>
      </rPr>
      <t>weight 40 - 100kg/m</t>
    </r>
  </si>
  <si>
    <r>
      <rPr>
        <b/>
        <u/>
        <sz val="11"/>
        <rFont val="Arial"/>
      </rPr>
      <t xml:space="preserve">columns; hollow; square
</t>
    </r>
    <r>
      <rPr>
        <sz val="11"/>
        <rFont val="Arial"/>
      </rPr>
      <t>weight not exceeding 40kg/m</t>
    </r>
  </si>
  <si>
    <r>
      <rPr>
        <b/>
        <u/>
        <sz val="11"/>
        <rFont val="Arial"/>
      </rPr>
      <t xml:space="preserve">beams
</t>
    </r>
    <r>
      <rPr>
        <sz val="11"/>
        <rFont val="Arial"/>
      </rPr>
      <t>weight not exceeding 40kg/m</t>
    </r>
  </si>
  <si>
    <r>
      <rPr>
        <b/>
        <u/>
        <sz val="11"/>
        <rFont val="Arial"/>
      </rPr>
      <t xml:space="preserve">beams; castellated (Westok cellular beams with 15mm Pre-camber)
</t>
    </r>
    <r>
      <rPr>
        <sz val="11"/>
        <rFont val="Arial"/>
      </rPr>
      <t>weight 40 - 100kg/m</t>
    </r>
  </si>
  <si>
    <r>
      <rPr>
        <b/>
        <u/>
        <sz val="11"/>
        <rFont val="Arial"/>
      </rPr>
      <t xml:space="preserve">beams; hollow; rectangular
</t>
    </r>
    <r>
      <rPr>
        <sz val="11"/>
        <rFont val="Arial"/>
      </rPr>
      <t>weight not exceeding 40kg/m</t>
    </r>
  </si>
  <si>
    <r>
      <rPr>
        <b/>
        <u/>
        <sz val="11"/>
        <rFont val="Arial"/>
      </rPr>
      <t xml:space="preserve">beams; hollow; square
</t>
    </r>
    <r>
      <rPr>
        <sz val="11"/>
        <rFont val="Arial"/>
      </rPr>
      <t>weight not exceeding 40kg/m</t>
    </r>
  </si>
  <si>
    <r>
      <rPr>
        <b/>
        <u/>
        <sz val="11"/>
        <rFont val="Arial"/>
      </rPr>
      <t xml:space="preserve">bracings
</t>
    </r>
    <r>
      <rPr>
        <sz val="11"/>
        <rFont val="Arial"/>
      </rPr>
      <t>weight not exceeding 40kg/m</t>
    </r>
  </si>
  <si>
    <r>
      <rPr>
        <b/>
        <u/>
        <sz val="11"/>
        <rFont val="Arial"/>
      </rPr>
      <t xml:space="preserve">bracings; hollow; circular
</t>
    </r>
    <r>
      <rPr>
        <sz val="11"/>
        <rFont val="Arial"/>
      </rPr>
      <t>weight not exceeding 40kg/m</t>
    </r>
  </si>
  <si>
    <t>Balancing tonnage</t>
  </si>
  <si>
    <r>
      <rPr>
        <b/>
        <u/>
        <sz val="11"/>
        <rFont val="Arial"/>
      </rPr>
      <t xml:space="preserve">fittings
</t>
    </r>
    <r>
      <rPr>
        <sz val="11"/>
        <rFont val="Arial"/>
      </rPr>
      <t>fittings (based on provisional allowance of 15%)</t>
    </r>
  </si>
  <si>
    <r>
      <rPr>
        <b/>
        <u/>
        <sz val="11"/>
        <rFont val="Arial"/>
      </rPr>
      <t xml:space="preserve">Sherardised Bolts
</t>
    </r>
    <r>
      <rPr>
        <sz val="11"/>
        <rFont val="Arial"/>
      </rPr>
      <t>Bolts</t>
    </r>
  </si>
  <si>
    <r>
      <rPr>
        <b/>
        <u/>
        <sz val="11"/>
        <rFont val="Arial"/>
      </rPr>
      <t xml:space="preserve">holding down bolts or assemblies; to be designed by steelwork contractor
</t>
    </r>
    <r>
      <rPr>
        <sz val="11"/>
        <rFont val="Arial"/>
      </rPr>
      <t>holding down bolt assembly; M20 grade 8.8 galvanised bolts with nuts and washers, to BS 7419:1991 with nuts to BS 4190; supply only</t>
    </r>
  </si>
  <si>
    <r>
      <rPr>
        <b/>
        <u/>
        <sz val="11"/>
        <rFont val="Arial"/>
      </rPr>
      <t xml:space="preserve">Restricted Deliveries
</t>
    </r>
    <r>
      <rPr>
        <sz val="11"/>
        <rFont val="Arial"/>
      </rPr>
      <t>5 No. columns currently circa 17m all other members are under 13m. Due to the restrictions we would need to introduce an additional splice per column (5 No.)</t>
    </r>
  </si>
  <si>
    <r>
      <rPr>
        <b/>
        <u/>
        <sz val="11"/>
        <rFont val="Arial"/>
      </rPr>
      <t xml:space="preserve">Framing, erection; in accordance with BS 5950: Part 2
Trial erection
</t>
    </r>
    <r>
      <rPr>
        <sz val="11"/>
        <rFont val="Arial"/>
      </rPr>
      <t>all the foregoing framing; if required</t>
    </r>
  </si>
  <si>
    <r>
      <rPr>
        <b/>
        <u/>
        <sz val="11"/>
        <rFont val="Arial"/>
      </rPr>
      <t xml:space="preserve">Permanent erection on site with bolted connections
</t>
    </r>
    <r>
      <rPr>
        <sz val="11"/>
        <rFont val="Arial"/>
      </rPr>
      <t>all the foregoing framing</t>
    </r>
  </si>
  <si>
    <t>BB</t>
  </si>
  <si>
    <r>
      <rPr>
        <b/>
        <u/>
        <sz val="11"/>
        <rFont val="Arial"/>
      </rPr>
      <t xml:space="preserve">Edge Protection
</t>
    </r>
    <r>
      <rPr>
        <sz val="11"/>
        <rFont val="Arial"/>
      </rPr>
      <t>Easi edge or similar</t>
    </r>
  </si>
  <si>
    <t>CC</t>
  </si>
  <si>
    <t>Extended hire of edge protection</t>
  </si>
  <si>
    <t>wks</t>
  </si>
  <si>
    <t>CD</t>
  </si>
  <si>
    <t>Additional visits to collect edge protection</t>
  </si>
  <si>
    <t>nr</t>
  </si>
  <si>
    <t>3/1/1</t>
  </si>
  <si>
    <t>22-004I 10/03/2025 13:08:21 Page : 15</t>
  </si>
  <si>
    <r>
      <rPr>
        <b/>
        <u/>
        <sz val="11"/>
        <rFont val="Arial"/>
      </rPr>
      <t xml:space="preserve">Secondary steelwork
</t>
    </r>
    <r>
      <rPr>
        <sz val="11"/>
        <rFont val="Arial"/>
      </rPr>
      <t>Secondary steelwork allowance (5% WDCL allowance - may not be required)</t>
    </r>
  </si>
  <si>
    <r>
      <rPr>
        <b/>
        <u/>
        <sz val="11"/>
        <rFont val="Arial"/>
      </rPr>
      <t xml:space="preserve">Site welding
</t>
    </r>
    <r>
      <rPr>
        <sz val="11"/>
        <rFont val="Arial"/>
      </rPr>
      <t>100 x 100 x 10mm Angles; welded across column faces; to support metal deck; see BJB drawing number DGW1-BJB-Z1-01-DR-S-0201 P08 (labour and plant only item - material is included in tonnage above)</t>
    </r>
  </si>
  <si>
    <t>12mm thick x 200mm long plate welded between column flanges; to pick up masonry support angle brackets; see BJB drawing number DGW1-BJB-Z1-01-DR-S-0202 P09</t>
  </si>
  <si>
    <t>10mm thick continuous plate welded to beams (UKC254x254x73); flush with the toes of the outer flange to recive masonry support angle fixings (at 2nd and 4th Floor); see BJB drawing number DGW1-BJB-Z1-02-DR-S-0202 P09 (labour and plant only item - material is included in tonnage above)</t>
  </si>
  <si>
    <t>Perimeter beams at Level 02 to receive flange plates etc. to support proprietary masonry support system (note on BJB drawing number DGW1-BJB-Z1-02-DR-S-0202 P09)</t>
  </si>
  <si>
    <t>Perimeter beams at Level 04 to receive flange plates etc. to support proprietary masonry support system (note on BJB drawing number DGW1-BJB-Z1-04-DR-S-0204 P09)</t>
  </si>
  <si>
    <r>
      <rPr>
        <b/>
        <u/>
        <sz val="11"/>
        <rFont val="Arial"/>
      </rPr>
      <t xml:space="preserve">Steel plates for SFS supports
</t>
    </r>
    <r>
      <rPr>
        <sz val="11"/>
        <rFont val="Arial"/>
      </rPr>
      <t>40x40x3mm hot rolled steel angles; assume welded to columns; to support SFS fixings to columns; as SFS drawing numbers 002, 003 &amp; 004; See BJB drawing number DGW1-BJB-Z1-ZZ-DR-S-0207 P08</t>
    </r>
  </si>
  <si>
    <r>
      <rPr>
        <b/>
        <u/>
        <sz val="11"/>
        <rFont val="Arial"/>
      </rPr>
      <t xml:space="preserve">Structural infills; to holes in castellated beams
</t>
    </r>
    <r>
      <rPr>
        <sz val="11"/>
        <rFont val="Arial"/>
      </rPr>
      <t>Structural infills; 400mm diameter; 8mm thick</t>
    </r>
  </si>
  <si>
    <r>
      <rPr>
        <b/>
        <u/>
        <sz val="11"/>
        <rFont val="Arial"/>
      </rPr>
      <t xml:space="preserve">Thermal breaks
</t>
    </r>
    <r>
      <rPr>
        <sz val="11"/>
        <rFont val="Arial"/>
      </rPr>
      <t>Allowance for thermal isolation washers between terrace and office steelwork; Levels 01, 02, 03 &amp; 04</t>
    </r>
  </si>
  <si>
    <t>Allowance for thermal isolation washers between office and roof steelwork; Level 01</t>
  </si>
  <si>
    <r>
      <rPr>
        <b/>
        <u/>
        <sz val="11"/>
        <rFont val="Arial"/>
      </rPr>
      <t xml:space="preserve">Surface Treatment
</t>
    </r>
    <r>
      <rPr>
        <sz val="11"/>
        <rFont val="Arial"/>
      </rPr>
      <t>Hot dipped galvanised finish to exposed CHS219.1x10 columns to balconies; off site</t>
    </r>
  </si>
  <si>
    <t>Blast cleaning off site</t>
  </si>
  <si>
    <t>Prefabrication primer; before fabrication; off site as NBS G10/523; Sherwin Williams C400V3primer at DFT 75 microns nominal</t>
  </si>
  <si>
    <t>Touch up primer; on site (say 15%)</t>
  </si>
  <si>
    <r>
      <rPr>
        <b/>
        <u/>
        <sz val="11"/>
        <rFont val="Arial"/>
      </rPr>
      <t xml:space="preserve">M61 Intumescent coatings for fire protection of steelwork
As Sherwin Williams schedule included in the enquiry
</t>
    </r>
    <r>
      <rPr>
        <sz val="11"/>
        <rFont val="Arial"/>
      </rPr>
      <t>Sherwin-Williams FX6002; Intumescent coating; on site (External steel)</t>
    </r>
  </si>
  <si>
    <t>Sherwin-Williams FX6002; Intumescent coating; on site (Internal steel)</t>
  </si>
  <si>
    <t>Sherwin-Williams FX6002; Intumescent coating; on site (7.5% Allowance not shown on schedule)</t>
  </si>
  <si>
    <t>Also make extra over allowance for masking of top flange, site touch up and fittings which will affect the final coated surface area.</t>
  </si>
  <si>
    <t>Intumescent painting of masonry support items</t>
  </si>
  <si>
    <t>Intumescent painting of zbars SFS support</t>
  </si>
  <si>
    <t>Intumescent painting other items (cleat angles/head fixing brackets etc)</t>
  </si>
  <si>
    <t>Touching up of intumescent after MEP installation through penetrations in beams</t>
  </si>
  <si>
    <r>
      <rPr>
        <b/>
        <u/>
        <sz val="11"/>
        <rFont val="Arial"/>
      </rPr>
      <t xml:space="preserve">Cold Rolled Cladding Rails
</t>
    </r>
    <r>
      <rPr>
        <sz val="11"/>
        <rFont val="Arial"/>
      </rPr>
      <t>Kingspan MultiBeam M175065120 purlins for parapets on Level 05 roof; to be provided with all necessary anti sag requirements</t>
    </r>
  </si>
  <si>
    <t>Kingspan MultiBeam M175065140 purlins for canopy roof</t>
  </si>
  <si>
    <t>Kingspan MultiBeam M175065150 purlins for roof cladding on Level 06 roof</t>
  </si>
  <si>
    <t>Kingspan MultiBeam M235065150 purlins for wall cladding on Levels 05-06 roof</t>
  </si>
  <si>
    <t>3/1/2</t>
  </si>
  <si>
    <t>22-004I 10/03/2025 13:08:21 Page : 16</t>
  </si>
  <si>
    <r>
      <rPr>
        <b/>
        <u/>
        <sz val="11"/>
        <rFont val="Arial"/>
      </rPr>
      <t xml:space="preserve">External signage support
</t>
    </r>
    <r>
      <rPr>
        <sz val="11"/>
        <rFont val="Arial"/>
      </rPr>
      <t>Allow 750kg of steelwork (assume galvanised) to support building signage; TBC by others; as note on BJB drawing number DGW1-BJB-Z1-ZZ-DR-S-00207 P08</t>
    </r>
  </si>
  <si>
    <t>Allow 750kg of steelwork (assume galvanised) to support building signage; TBC by others; as note on BJB drawing number DGW1-BJB-Z1-ZZ-DR-S-00208 P06</t>
  </si>
  <si>
    <r>
      <rPr>
        <b/>
        <u/>
        <sz val="11"/>
        <rFont val="Arial"/>
      </rPr>
      <t xml:space="preserve">Separate visit for roof steelwork to Entrance Canopy
</t>
    </r>
    <r>
      <rPr>
        <sz val="11"/>
        <rFont val="Arial"/>
      </rPr>
      <t>Additional cantilever stubs to be provided; penetrating through the external elevations; to allow the flat roof steelwork to be erected following completion of the external envelope on gridlines B &amp; 8</t>
    </r>
  </si>
  <si>
    <t>Allow for return visit to install the steel beams and purlins to the entrance canopy; see BJB drawing number DGW1-BJB-Z1-01-DR-S-0201 P08 (labour and plant only item - material is included in tonnage/meterage above)</t>
  </si>
  <si>
    <r>
      <rPr>
        <b/>
        <u/>
        <sz val="11"/>
        <rFont val="Arial"/>
      </rPr>
      <t xml:space="preserve">Metal Deck Floors
</t>
    </r>
    <r>
      <rPr>
        <sz val="11"/>
        <rFont val="Arial"/>
      </rPr>
      <t>Lift metal deck packs into position</t>
    </r>
  </si>
  <si>
    <t>3/1/3</t>
  </si>
  <si>
    <t>Page Total : 3/1/1</t>
  </si>
  <si>
    <t>Page Total : 3/1/2</t>
  </si>
  <si>
    <t>Page Total : 3/1/3</t>
  </si>
  <si>
    <t>22-004I 10/03/2025 13:08:21 Page : 18</t>
  </si>
  <si>
    <t>Upper Floors</t>
  </si>
  <si>
    <t>4</t>
  </si>
  <si>
    <r>
      <rPr>
        <b/>
        <u/>
        <sz val="11"/>
        <rFont val="Arial"/>
      </rPr>
      <t xml:space="preserve">UPPER FLOORS
</t>
    </r>
    <r>
      <rPr>
        <sz val="11"/>
        <rFont val="Arial"/>
      </rPr>
      <t>Note: Area of 5th Floor included as part of Roof decking and slab.</t>
    </r>
  </si>
  <si>
    <t>Note: External Terraces included in Roof.
Profiled Metal Decking
Kingspan Multideck MD60-V3 Metal Decking; 1.2mm gauge; fixed to supporting steelwork with Hilti X-ENP-19-L15 or similar fasteners, 1Nr per trough or at 450mm centres to suit span of deck; as drawings BJB-Z1-(01/02/03/04)-DR-S-0241, 0242, 0243 &amp; 0244 and Z1-ZZ-DR-S-0225</t>
  </si>
  <si>
    <t>150mm deep</t>
  </si>
  <si>
    <t>Perimeter edge trims, closure flashings and formwork; 150mm high</t>
  </si>
  <si>
    <t>Fix decking to steelwork with Hilti X-ENP-19-L15 or similar fasteners; one per trough or @ 450mm horizontal centres depending upon direction of deck (approximate quantity)</t>
  </si>
  <si>
    <t>Rake cutting</t>
  </si>
  <si>
    <t>Notching posts</t>
  </si>
  <si>
    <t>Safety nets</t>
  </si>
  <si>
    <t>I</t>
  </si>
  <si>
    <t>Rope access to level 5</t>
  </si>
  <si>
    <t>Temporary propping; if required</t>
  </si>
  <si>
    <r>
      <rPr>
        <b/>
        <u/>
        <sz val="11"/>
        <rFont val="Arial"/>
      </rPr>
      <t xml:space="preserve">In Situ Concrete
Reinforced Concrete Grade RC25/30; as NBS E05 &amp; E10/105 Type B and drawings BJB-Z1-(01/02/03/04)-DR-S-0241, 0242, 0243 &amp; 0244 and Z1-ZZ-DR-S-0225
</t>
    </r>
    <r>
      <rPr>
        <sz val="11"/>
        <rFont val="Arial"/>
      </rPr>
      <t>Suspended slabs; thickness not exceeding 150mm</t>
    </r>
  </si>
  <si>
    <t>Upstands; 140mm thick X 90mm high</t>
  </si>
  <si>
    <t>Concrete surround / upstand to base of CHS bracing; extent to suit final connection detail; 400mm thick</t>
  </si>
  <si>
    <t>Bund to Boiler Room 05-05, 150 x 225mm high</t>
  </si>
  <si>
    <t>Concrete cube testing</t>
  </si>
  <si>
    <r>
      <rPr>
        <b/>
        <u/>
        <sz val="11"/>
        <rFont val="Arial"/>
      </rPr>
      <t xml:space="preserve">Formwork for In Situ Concrete; as NBS E20
</t>
    </r>
    <r>
      <rPr>
        <sz val="11"/>
        <rFont val="Arial"/>
      </rPr>
      <t>Sides of upstands; not exceeding 100mm high</t>
    </r>
  </si>
  <si>
    <t>Sides of bund to Boiler Room 05-05; not exceeding 100mm high</t>
  </si>
  <si>
    <r>
      <rPr>
        <b/>
        <u/>
        <sz val="11"/>
        <rFont val="Arial"/>
      </rPr>
      <t xml:space="preserve">Reinforcement for In Situ Concrete; as NBS E30 and drawings BJB-Z1-(01/02/03/04)-DR-S-0241, 0242, 0243 &amp; 0244 and Z1-ZZ-DR-S-0225
</t>
    </r>
    <r>
      <rPr>
        <sz val="11"/>
        <rFont val="Arial"/>
      </rPr>
      <t>Fibre mesh reinforcement in suspended floor slabs; 4D 80/60 BGE DRAMIX fibres (20kg/m³)</t>
    </r>
  </si>
  <si>
    <t>U-bar reinforcement at 200mm centres with straight distribution bars; to tie upstands and bund into main slabs (10kg/m)</t>
  </si>
  <si>
    <t>H10 U-bars dowelled into slabs at 100mm centres; to suit 400 wide x 150mm high upstand to base of bracing</t>
  </si>
  <si>
    <t>A252 1200mm wide strips</t>
  </si>
  <si>
    <r>
      <rPr>
        <b/>
        <u/>
        <sz val="11"/>
        <rFont val="Arial"/>
      </rPr>
      <t xml:space="preserve">Additional Items
</t>
    </r>
    <r>
      <rPr>
        <sz val="11"/>
        <rFont val="Arial"/>
      </rPr>
      <t>Taping of joints to avoid grout loss during concrete pour</t>
    </r>
  </si>
  <si>
    <t>Taping of edge trims to avoid grout loss during concrete pour</t>
  </si>
  <si>
    <t>Allowance for cleaning joints to underside of metaldeck due to the deck being left exposed in it's final state</t>
  </si>
  <si>
    <t>4/1/1</t>
  </si>
  <si>
    <t>22-004I 10/03/2025 13:08:21 Page : 19</t>
  </si>
  <si>
    <r>
      <rPr>
        <b/>
        <u/>
        <sz val="11"/>
        <rFont val="Arial"/>
      </rPr>
      <t xml:space="preserve">Finishes to In Situ Concrete; as NBS E41
</t>
    </r>
    <r>
      <rPr>
        <sz val="11"/>
        <rFont val="Arial"/>
      </rPr>
      <t>Smooth power floated finish to slabs (assumed)</t>
    </r>
  </si>
  <si>
    <t>Smooth finish to tops of upstands; 400mm wide (assumed)</t>
  </si>
  <si>
    <r>
      <rPr>
        <b/>
        <u/>
        <sz val="11"/>
        <rFont val="Arial"/>
      </rPr>
      <t xml:space="preserve">Sundry Insulation / Proofing Work
Airtight / watertight membrane seals Type A; OBEX Cortex 0200FR; including all necessary accessories as specified; as NBS P10/310A and drawings BBA-Z1-ZZ-DR-A-7070 to 7079, 7671, 7672 &amp; 7426
</t>
    </r>
    <r>
      <rPr>
        <sz val="11"/>
        <rFont val="Arial"/>
      </rPr>
      <t>Width to suit construction detail; to be formed onto slab edge / soffit (where applicable) and dressed over steelwork (where applicable) and weather defence boards; to allow deflection/movement</t>
    </r>
  </si>
  <si>
    <r>
      <rPr>
        <b/>
        <u/>
        <sz val="11"/>
        <rFont val="Arial"/>
      </rPr>
      <t xml:space="preserve">Cavity BarriersType A; Siderise TW-P Firestops for Profiled Decks (PP-FS60); to achieve 60 minutes integrity and insulation; as NBS P10/432A and drawings BBA-Z1-ZZ-DR-A-7070 to 7079, 7671, 7672 &amp; 7426
</t>
    </r>
    <r>
      <rPr>
        <sz val="11"/>
        <rFont val="Arial"/>
      </rPr>
      <t>Horizontal to slab perimeters at external walls; to suit span / profile of metal decking (Note: Measured to 1nr trough; additional coat back detail picked up in internal walls)</t>
    </r>
  </si>
  <si>
    <t>Fire Stopping above all Westok Beams required as tops won't be intumescent coated and non-composite deck installed.</t>
  </si>
  <si>
    <r>
      <rPr>
        <b/>
        <u/>
        <sz val="11"/>
        <rFont val="Arial"/>
      </rPr>
      <t xml:space="preserve">Builderswork In Connection with Services
Forming / core drilling holes in metal decking and concrete slabs; as drawings SDA-Z1-(01/02/03/04)-DR-P-5203, 5204, 5205, 5206, 5207, 5208, 5209 &amp; 5210 and ZZ-ZZ-DR-M-5002
</t>
    </r>
    <r>
      <rPr>
        <sz val="11"/>
        <rFont val="Arial"/>
      </rPr>
      <t>Note: Drawing M-5002 indicates 1Nr small riser to the side of each staircore on 1st to 4th Floors, however these are not indicated on BJB Slab GA's. Holes for SVP's measured at each floor to these locations in the absence of a riser void.</t>
    </r>
  </si>
  <si>
    <t>To suit 150mm diameter RWP's (Note: 1Nr per floor assumed based on Ground Floor Slab GA FN-DR-S-0110)</t>
  </si>
  <si>
    <t>To suit 150mm diameter SVP's</t>
  </si>
  <si>
    <t>Core drill 400x200mm 'slot' for refrigerant traywork</t>
  </si>
  <si>
    <t>Core drill 800x200mm 'slot' for refrigerant traywork and heating pipework</t>
  </si>
  <si>
    <t>Core drill openings to suit Tenant's required pipe / containment sizes</t>
  </si>
  <si>
    <t>4/1/2</t>
  </si>
  <si>
    <t>Page Total : 4/1/1</t>
  </si>
  <si>
    <t>Page Total : 4/1/2</t>
  </si>
  <si>
    <t>22-004I 10/03/2025 13:08:21 Page : 21</t>
  </si>
  <si>
    <t>Roof</t>
  </si>
  <si>
    <t>5</t>
  </si>
  <si>
    <r>
      <rPr>
        <b/>
        <u/>
        <sz val="11"/>
        <rFont val="Arial"/>
      </rPr>
      <t xml:space="preserve">ROOF STRUCTURE AND ROOF COVERINGS
G Structural/Carcassing metal/timber
G30 Metal profiled sheet decking
Metal Decking; to terraces and level 05 main roof
</t>
    </r>
    <r>
      <rPr>
        <sz val="11"/>
        <rFont val="Arial"/>
      </rPr>
      <t>Specialist design</t>
    </r>
  </si>
  <si>
    <t>Kingspan Multideck MD60 V3 metal decking; 1.2mm gauge; as drawing BJB-Z1-01-DR-S-0241, 0242, 0243, 0244 &amp; 0245; Allow for notching around all columns</t>
  </si>
  <si>
    <t>Perimeter edge trims, closure flashings and formwork; 1.2mm gauge secured at approx. 600mm centres with restraint straps; 150mm high</t>
  </si>
  <si>
    <t>Allow for forming holes in decking or core drilling through reinforced concrete and decking; for S&amp;VP's &amp; Syphonic outlets &amp; floor gulley</t>
  </si>
  <si>
    <r>
      <rPr>
        <b/>
        <u/>
        <sz val="11"/>
        <rFont val="Arial"/>
      </rPr>
      <t xml:space="preserve">Structural Decking; to Entrance canopy
</t>
    </r>
    <r>
      <rPr>
        <sz val="11"/>
        <rFont val="Arial"/>
      </rPr>
      <t>Specialist design</t>
    </r>
  </si>
  <si>
    <t>RoofDek D35; fixed to purlins; laid to 1.43° falls</t>
  </si>
  <si>
    <t>Temporary safety netting</t>
  </si>
  <si>
    <t>2mm Galvanised angle to Roofdek; to support Siniat weather defence boards to SC detail</t>
  </si>
  <si>
    <t>Allow for forming holes in decking for RWP outlets</t>
  </si>
  <si>
    <r>
      <rPr>
        <b/>
        <u/>
        <sz val="11"/>
        <rFont val="Arial"/>
      </rPr>
      <t xml:space="preserve">Structural Decking; to Level 06 roof
</t>
    </r>
    <r>
      <rPr>
        <sz val="11"/>
        <rFont val="Arial"/>
      </rPr>
      <t>Specialist design</t>
    </r>
  </si>
  <si>
    <t>RoofDek D35; fixed to purlins; laid to 1.5° falls</t>
  </si>
  <si>
    <r>
      <rPr>
        <b/>
        <u/>
        <sz val="11"/>
        <rFont val="Arial"/>
      </rPr>
      <t xml:space="preserve">Slabs; poured on to metal decks
</t>
    </r>
    <r>
      <rPr>
        <sz val="11"/>
        <rFont val="Arial"/>
      </rPr>
      <t>RC25/30 concrete; as NBS clause E10/105B</t>
    </r>
  </si>
  <si>
    <t>Fibre mesh reinforcement; 20kg/m3 4D 80/60 BGE Dramix fibres</t>
  </si>
  <si>
    <t>kg</t>
  </si>
  <si>
    <t>1nr H12 bar reinforcement to each trough around the full perimeter of the building over a width of 4m</t>
  </si>
  <si>
    <t>1nr H12 bar reinforcement to each trough to Terrace slabs</t>
  </si>
  <si>
    <t>Power float finish</t>
  </si>
  <si>
    <t>Movement joints; no details</t>
  </si>
  <si>
    <r>
      <rPr>
        <b/>
        <u/>
        <sz val="11"/>
        <rFont val="Arial"/>
      </rPr>
      <t xml:space="preserve">Concrete upstands to Terrace slabs
</t>
    </r>
    <r>
      <rPr>
        <sz val="11"/>
        <rFont val="Arial"/>
      </rPr>
      <t>Reinforced concrete in upstands to concrete slab</t>
    </r>
  </si>
  <si>
    <t>Allow for 10kg/m reinforcement in the form of bent U bars at 200mm centres cast into the slab and straight distribution bars</t>
  </si>
  <si>
    <t>Formwork to sides of upstands; not exceeding 100mm high</t>
  </si>
  <si>
    <t>Form hole in concrete upstand for 63mm diameter overflow pipe</t>
  </si>
  <si>
    <t>Allowance for cleaning underside of metaldeck due to the deck being left exposed in it's final state</t>
  </si>
  <si>
    <t>5/1/1</t>
  </si>
  <si>
    <t>22-004I 10/03/2025 13:08:21 Page : 22</t>
  </si>
  <si>
    <r>
      <rPr>
        <b/>
        <u/>
        <sz val="11"/>
        <rFont val="Arial"/>
      </rPr>
      <t xml:space="preserve">J31 Liquid-applied waterproof roof coatings
Roof coverings
</t>
    </r>
    <r>
      <rPr>
        <sz val="11"/>
        <rFont val="Arial"/>
      </rPr>
      <t>Specialist design; as NBS Clause J31/20</t>
    </r>
  </si>
  <si>
    <r>
      <rPr>
        <b/>
        <u/>
        <sz val="11"/>
        <rFont val="Arial"/>
      </rPr>
      <t xml:space="preserve">INVERTED ROOF COATING TO: Main Roof Area Type A; as NBS Clause J31/130
</t>
    </r>
    <r>
      <rPr>
        <sz val="11"/>
        <rFont val="Arial"/>
      </rPr>
      <t>Comprising; preparation of concrete topping; minimum 10mm thick IKO Permascreed as a mastic asphalt levelling screed or to create drainage falls as required</t>
    </r>
  </si>
  <si>
    <t>Comprising; IKO Permatec polymer primer as clause J31/720A; 2 coats of IKO Permatec Ecowrap hot melt system; reinforcement as clause J31/750A; IKO Permaflash-R 6mm thick in two coats; IKO Permaguard-F protection layer; 180mm thick IKO Enertherm XPS insulation; IKO Enertherm WCL water flow reducing layer as J31/342</t>
  </si>
  <si>
    <t>IKO 50mm Enertherm MW angle fillets (stone wool) bonded with IKOpro PU adhesive</t>
  </si>
  <si>
    <t>IKO PermaFlash-D150 detailing strip bonded in PermaTEC</t>
  </si>
  <si>
    <t>Stone ballast; to main roof; 50mm thick; as clause J31/365A</t>
  </si>
  <si>
    <t>PCC paving flags; 450x450x50mm (minimum 40mm thick) and IKO Perforated metal retention angles; on IKO paving support pads 150x15mm diameter; as clauses J31/369, J31/370A &amp; J31/845</t>
  </si>
  <si>
    <t>Weathering system required to riser boxes; no details</t>
  </si>
  <si>
    <t>Skirtings/upstands; to walls; 12mm RCM Y-Wall A1 non combustible board formed into railing system to form backing detail for hot melt as clause F30/190; IKO 50mm IKOrock Etherm Upstand board (non combustible) and 6mm calcium silicate facing board with IKO retention clip; 400-600mm girth; See detail on architect drawing number DGW1-BBA-Z1-ZZ-DR-A-7427 P03</t>
  </si>
  <si>
    <t>Skirtings/upstands; to parapet walls; to be formed in IKO Permatec Ecowrap; 60mm IKOrock (DD) MW Multifix (Non combustible stone wool) bonded with IKOpro PU adhesive (TBC with IKO); IKO Ultra T-O air and vapour control layer (to non combustible substrates only, 2-3mm thick; IKO Ultra PrevENt T-O underlay (2mm thick); IKO Ultra PrevENt T-O cap sheet (4.5mm thick torch applied); 1800mm-2000mm girth; See drawing number DGW1 BBA Z1 ZZ DR A 7420 P04</t>
  </si>
  <si>
    <t>Outline Roof OverFlow Chute - (Refer to Level 5 Roof plan for locations) To be formed to suit a 215x65 brick, PPC steel sheet, with PPC cover flange, fully lined with EPDM, IKO membrane/ to be formed/fully sealed to overflow. To be formed through Parapet wall construction. All additional supports required to provide robust detail to be provided / detailed by Sub-contractor. Invert nom 75mm. NBS J41/490</t>
  </si>
  <si>
    <t>Nicholson Roof Box riser S1A &amp; S1B; 300x300</t>
  </si>
  <si>
    <t>Nichoson Roof Box riser S3; 600x900</t>
  </si>
  <si>
    <r>
      <rPr>
        <b/>
        <u/>
        <sz val="11"/>
        <rFont val="Arial"/>
      </rPr>
      <t xml:space="preserve">INVERTED ROOF COATING TO: Balconies Type B; as NBS Clause J31/130; See architect drawing number DGW1-BBA-Z1-ZZ-DR-A-7422 P04
</t>
    </r>
    <r>
      <rPr>
        <sz val="11"/>
        <rFont val="Arial"/>
      </rPr>
      <t>Comprising; preparation of concrete topping; minimum 10mm thick IKO Permascreed as a mastic asphalt levelling screed or to create drainage falls as required</t>
    </r>
  </si>
  <si>
    <t>Comprising; IKO Permatec polymer primer as clause J31/720A; 2 coats of IKO Permatec Ecowrap compound incorporating IKO PermaFlash-R reinforcement 6mm thick in two coats; IKO HYload 3mm protection board layer</t>
  </si>
  <si>
    <t>IKO Plasfeed drainage/moisture retention layer (for planters)</t>
  </si>
  <si>
    <t>Skirtings/upstands; to walls; comprising 2 coats of IKO Permatec Ecowrap compound incorporating IKO PermaFlash-R reinforcement 6mm thick in two coats; IKO HYload 3mm protection board layer; Girth 225-300mm; No detail; girth assumed</t>
  </si>
  <si>
    <t>Skirtings/upstands; to concrete upstands; comprising 2 coats of IKO Permatec Ecowrap compound incorporating IKO PermaFlash-R reinforcement 6mm thick in two coats; IKO HYload 3mm protection board layer; Girth 225-300mm</t>
  </si>
  <si>
    <t>Bedale Riven paving flags; 600x600x50mm; on IKO adjustable paving support pads; as clauses J31/369B &amp; J31/370B</t>
  </si>
  <si>
    <t>IKO roof outlets; including weatherproofing; as clause J31/311A</t>
  </si>
  <si>
    <t>Aluminium parapet overflow outlet; including weatherproofing; as clause J31/311C</t>
  </si>
  <si>
    <t>5/1/2</t>
  </si>
  <si>
    <t>22-004I 10/03/2025 13:08:21 Page : 23</t>
  </si>
  <si>
    <r>
      <rPr>
        <b/>
        <u/>
        <sz val="11"/>
        <rFont val="Arial"/>
      </rPr>
      <t xml:space="preserve">J41 Reinforced bitumen membrane roof coverings
Roof coverings
</t>
    </r>
    <r>
      <rPr>
        <sz val="11"/>
        <rFont val="Arial"/>
      </rPr>
      <t>Specialist design; as NBS Clause J41/20</t>
    </r>
  </si>
  <si>
    <r>
      <rPr>
        <b/>
        <u/>
        <sz val="11"/>
        <rFont val="Arial"/>
      </rPr>
      <t xml:space="preserve">Built-up reinforced bitumen membrane warm deck roof covering - Top Stair Overrun Roof Type B; as NBS Clause J41/110; See architect drawing numbers DGW1-BBA-Z1-ZZ-DR-A-7426 P03 &amp; DGW1-BBA-Z1-ZZ-DR-A-7427 P03
</t>
    </r>
    <r>
      <rPr>
        <sz val="11"/>
        <rFont val="Arial"/>
      </rPr>
      <t>Comprising: 8mm Versapanel cement particle board as clause J41/362 and IKOpro Sprayfast MPP; IKO Ultra T-O air and vapour control layer (to non combustible substrates only - 2-3mm thick); IKO 140mm enertherm bonded with IKOpro PU adhesive; IKO Ultra PrevENt T-O underlay (2mm thick); IKO Ultra PrevENt T-O cap sheet (4.5mm thick torch applied)</t>
    </r>
  </si>
  <si>
    <t>Skirtings/upstands; to parapet walls; comprising 12.5mm thick Siniat weather defence board; IKO Ultra T-O air and vapour control layer (to non combustible substrates only, 2-3mm thick; 60mm IKOrock (DD) MW Multifix (Non combustible stone wool) bonded with IKOpro PU adhesive (TBC with IKO); IKO Ultra PrevENt T-O underlay (2mm thick); IKO Ultra PrevENt T-O cap sheet (4.5mm thick torch applied); 800mm-1000mm girth; See drawing number DGW1 BBA Z1 ZZ DR A 7426 P03</t>
  </si>
  <si>
    <t>Form gutter with tapered insulation; cross fall 1 in 80; 600mm wide x 40mm deep</t>
  </si>
  <si>
    <r>
      <rPr>
        <b/>
        <u/>
        <sz val="11"/>
        <rFont val="Arial"/>
      </rPr>
      <t xml:space="preserve">Built-up reinforced bitumen membrane cold deck roof covering - Entrance Canopy Type A; as NBS Clause J41/130; See architect drawing number DGW1-BBA-Z1-ZZ-DR-A-7428 P03
</t>
    </r>
    <r>
      <rPr>
        <sz val="11"/>
        <rFont val="Arial"/>
      </rPr>
      <t>Comprising: 18mm Versapanel cement particle board as clause J41/362; IKO Ultra T-O air and vapour control layer; IKO Ultra PrevENt T-O underlay (2mm thick); IKO Ultra PrevENt T-O cap sheet (4.5mm thick torch applied); IKO Permaguard F protection mat (3mm thick)</t>
    </r>
  </si>
  <si>
    <t>Skirtings/upstands; to brickwork walls; comprising IKO Ultra T-O air and vapour control layer (to non combustible substrates only, 2-3mm thick; IKO Ultra PrevENt T-O underlay (2mm thick); IKO Ultra PrevENt T-O cap sheet (4.5mm thick torch applied); 200mm-400mm girth; No detail - assumed</t>
  </si>
  <si>
    <t>Skirtings/upstands; to parapet walls and brickwork walls; comprising 12.5mm thick Siniat weather defence board; IKO Ultra T-O air and vapour control layer (to non combustible substrates only, 2-3mm thick; IKO Ultra PrevENt T-O underlay (2mm thick); IKO Ultra PrevENt T-O cap sheet (4.5mm thick torch applied); 200mm-400mm girth; See drawing number DGW1 BBA Z1 ZZ DR A 7428 P03</t>
  </si>
  <si>
    <t>Form gutter in roof structure and coverings; 660mm wide x 40mm deep</t>
  </si>
  <si>
    <t>Cleader angles fixed to purlins; laid to provide 1 in 40 cross falls to gutter</t>
  </si>
  <si>
    <t>Stone ballast; White cobbles 40-90mm; minimum 40mm thickness; as J41/460</t>
  </si>
  <si>
    <t>Code 5 lead cover flashing; to brickwork abutment; approx 170mm high</t>
  </si>
  <si>
    <t>5/1/3</t>
  </si>
  <si>
    <t>22-004I 10/03/2025 13:08:21 Page : 24</t>
  </si>
  <si>
    <r>
      <rPr>
        <b/>
        <u/>
        <sz val="11"/>
        <rFont val="Arial"/>
      </rPr>
      <t xml:space="preserve">Parapet Wall Structure; to Main roof
</t>
    </r>
    <r>
      <rPr>
        <sz val="11"/>
        <rFont val="Arial"/>
      </rPr>
      <t>12mm thick RCM Y-Wall A1 non combustible board; fixed to purlins; vertical; as NBS Clause F30/190</t>
    </r>
  </si>
  <si>
    <t>12mm thick RCM Y-Wall A1 non combustible board capping; fixed to top of parapet; with fire treated timber kicker to outside edge to create min. 2 degree fall; horizontal; not exceeding 300mm wide; as NBS Clause F30/190</t>
  </si>
  <si>
    <r>
      <rPr>
        <b/>
        <u/>
        <sz val="11"/>
        <rFont val="Arial"/>
      </rPr>
      <t xml:space="preserve">Perimeter trims; NBS Clause J41/345
</t>
    </r>
    <r>
      <rPr>
        <sz val="11"/>
        <rFont val="Arial"/>
      </rPr>
      <t>Parapet Trims; to Main roof; 2mm PPC aluminium drip trim to the external edge; mechanically fixed to the parapet substrate to SC details; Colour - White; 150mm drip facing; See drawing number DGW1 BBA Z1 ZZ DR A 7420 P04</t>
    </r>
  </si>
  <si>
    <t>Extra over for external corners</t>
  </si>
  <si>
    <t>Extra over for internal corners</t>
  </si>
  <si>
    <t>Extra over for ends</t>
  </si>
  <si>
    <t>0.9mm thick galvanised hard edge at either side of top of parapet, fully bonded to insulation; See drawing number DGW1 BBA Z1 ZZ DR A 7420 P04</t>
  </si>
  <si>
    <t>Parapet Trims; to Level 06 Stair roof; 2mm PPC aluminium drip trim to the external edge; mechanically fixed to the parapet substrate to SC details; Colour - White; 150mm drip facing; See drawing number DGW1 BBA Z1 ZZ DR A 7427 P03</t>
  </si>
  <si>
    <t>0.9mm thick galvanised hard edge at either side of top of parapet, fully bonded to insulation; See drawing number DGW1 BBA Z1 ZZ DR A 7427 P03</t>
  </si>
  <si>
    <t>Siniat Weather defence board capping to top of parapet, with fire treated timber kicker to outside edge to create min 2 degree fall; See drawing number DGW1 BBA Z1 ZZ DR A 7427 P03</t>
  </si>
  <si>
    <t>10mm galvanised steel support plate to be fixed to top rails and formed over cladding panel to SE/Sub contractor details; See drawing number DGW1 BBA Z1 ZZ DR A 7427 P03</t>
  </si>
  <si>
    <t>5/1/4</t>
  </si>
  <si>
    <t>22-004I 10/03/2025 13:08:21 Page : 25</t>
  </si>
  <si>
    <r>
      <rPr>
        <b/>
        <u/>
        <sz val="11"/>
        <rFont val="Arial"/>
      </rPr>
      <t xml:space="preserve">H72 Aluminium strip/ sheet fully supported roof and wall coverings/ flashings
Aluminium coping system Type A; NBS Clause H72/470; Aluminium coping system to canopy roof and balconies
</t>
    </r>
    <r>
      <rPr>
        <sz val="11"/>
        <rFont val="Arial"/>
      </rPr>
      <t>Specialist design; as NBS Clause H72/20</t>
    </r>
  </si>
  <si>
    <t>External Canopy Parapet Cap and Fascia; 3mm thick PPC aluminium; laid to fall 2.0 degrees onto cladding carrier system; All Rails, brackets, angles, seals, and Secret fix fixings required. All to sub contractor detailed design; BROWN line denotes Class A OBEX Cortex 0200FR formed over coping support angle/sealed and onto brickwork/IKO roofing membrane; Fixings through roof membrane to be fully sealed prior to installing top parapet caps; approx 590mm girth; bent four times; See drawing number DGW1-BBA-Z1-ZZ-DR-A-7428 P03</t>
  </si>
  <si>
    <t>Dress over stop ends with Code 5 lead cover flashings</t>
  </si>
  <si>
    <t>External Terrace Parapet Cap and Fascia; 3mm thick PPC aluminium; laid to fall 2.0 degrees onto cladding carrier system; All Rails, brackets, angles, seals, and Secret fix fixings required. All to sub contractor detailed design; BROWN line denotes Class A OBEX Cortex 0200FR formed over coping support angle/sealed and onto brickwork/IKO roofing membrane; Fixings through roof membrane to be fully sealed prior to installing top parapet caps; approx 570mm girth; bent four times; See drawing number DGW1-BBA-Z1-ZZ-DR-A-7422 P04</t>
  </si>
  <si>
    <r>
      <rPr>
        <b/>
        <u/>
        <sz val="11"/>
        <rFont val="Arial"/>
      </rPr>
      <t xml:space="preserve">Testing
</t>
    </r>
    <r>
      <rPr>
        <sz val="11"/>
        <rFont val="Arial"/>
      </rPr>
      <t>Electronic integrity test</t>
    </r>
  </si>
  <si>
    <t>5/1/5</t>
  </si>
  <si>
    <t>22-004I 10/03/2025 13:08:21 Page : 26</t>
  </si>
  <si>
    <r>
      <rPr>
        <b/>
        <u/>
        <sz val="11"/>
        <rFont val="Arial"/>
      </rPr>
      <t xml:space="preserve">R10 Rainwater drainage systems
</t>
    </r>
    <r>
      <rPr>
        <sz val="11"/>
        <rFont val="Arial"/>
      </rPr>
      <t>Specialist design; as NBS Clause R10/20</t>
    </r>
  </si>
  <si>
    <r>
      <rPr>
        <b/>
        <u/>
        <sz val="11"/>
        <rFont val="Arial"/>
      </rPr>
      <t xml:space="preserve">Gravity rainwater drainage system; see NBS clause R10/110
Aluminium PPC black pipes; minimum 83mm diameter
</t>
    </r>
    <r>
      <rPr>
        <sz val="11"/>
        <rFont val="Arial"/>
      </rPr>
      <t>Vertical rainwater pipes</t>
    </r>
  </si>
  <si>
    <t>Horizontal rainwater pipes</t>
  </si>
  <si>
    <t>Bends</t>
  </si>
  <si>
    <t>Rodding access; as clause J41/490</t>
  </si>
  <si>
    <t>Hoppers</t>
  </si>
  <si>
    <t>Connect horizontal RWP's to verticalRWP's</t>
  </si>
  <si>
    <t>Connect to IKO rainwater outlet</t>
  </si>
  <si>
    <t>Connect to gullies</t>
  </si>
  <si>
    <r>
      <rPr>
        <b/>
        <u/>
        <sz val="11"/>
        <rFont val="Arial"/>
      </rPr>
      <t xml:space="preserve">Syphonic drainage; see NBS clause R10/121; See Sapoflow drawings
</t>
    </r>
    <r>
      <rPr>
        <sz val="11"/>
        <rFont val="Arial"/>
      </rPr>
      <t>Specialist design; as NBS Clause R10/20</t>
    </r>
  </si>
  <si>
    <t>Syphonic drainage installation</t>
  </si>
  <si>
    <t>Syphonic insulation</t>
  </si>
  <si>
    <r>
      <rPr>
        <b/>
        <u/>
        <sz val="11"/>
        <rFont val="Arial"/>
      </rPr>
      <t xml:space="preserve">Photovoltaic Panels
</t>
    </r>
    <r>
      <rPr>
        <sz val="11"/>
        <rFont val="Arial"/>
      </rPr>
      <t>PV panels; approx 1750mm x 1050mm</t>
    </r>
  </si>
  <si>
    <r>
      <rPr>
        <b/>
        <u/>
        <sz val="11"/>
        <rFont val="Arial"/>
      </rPr>
      <t xml:space="preserve">Lightning Conductor
</t>
    </r>
    <r>
      <rPr>
        <sz val="11"/>
        <rFont val="Arial"/>
      </rPr>
      <t>Allow for a lightning conductor and earth boxes</t>
    </r>
  </si>
  <si>
    <t>5/1/6</t>
  </si>
  <si>
    <t>22-004I 10/03/2025 13:08:21 Page : 27</t>
  </si>
  <si>
    <r>
      <rPr>
        <b/>
        <u/>
        <sz val="11"/>
        <rFont val="Arial"/>
      </rPr>
      <t xml:space="preserve">TERRACE PLANTERS
Q28 Topsoil and soil ameliorants
Planting bed topsoil system; See NBS Clause Q28/135; Composition - Topsoil: Imported topsoil to BS 3882; Ameliorants: Fertilizer; See architect drawing number DGW1-BBA-Z1-ZZ-DR-A-7422 P04
</t>
    </r>
    <r>
      <rPr>
        <sz val="11"/>
        <rFont val="Arial"/>
      </rPr>
      <t>Imported topsoil; 450mm deep; to planters on levels 01, 02, 03 &amp; 04</t>
    </r>
  </si>
  <si>
    <t>150mm thick gravel drainage layer; to planters on levels 01, 02, 03 &amp; 04</t>
  </si>
  <si>
    <r>
      <rPr>
        <b/>
        <u/>
        <sz val="11"/>
        <rFont val="Arial"/>
      </rPr>
      <t xml:space="preserve">Q31 External Planting
Steel plant containers; See NBS Clause Q31/292; Manufacturer: Logic Manufactured Bespoke; Product reference: Velox Rapid Edge Material: PPC coated steel, painted to match architectural metalwork Dimensions/ Shape: As drawings - length &amp; width vary, height 500/800mm Accessories: Metallic finish PPC to a smooth finish to match curtain walling and railings.
</t>
    </r>
    <r>
      <rPr>
        <b/>
        <sz val="11"/>
        <rFont val="Arial"/>
      </rPr>
      <t xml:space="preserve">BBA Drawing 7672 P04. RAL 1035 Metalic
</t>
    </r>
    <r>
      <rPr>
        <sz val="11"/>
        <rFont val="Arial"/>
      </rPr>
      <t>PPC steel planter; fixed to reinforced concrete slabs; 1990mm long x 520mm wide x 670mm high; on levels 01, 02, 03 &amp; 04</t>
    </r>
  </si>
  <si>
    <t>PPC steel planter; fixed to reinforced concrete slabs; 3340mm long x 600mm wide x 670mm high; on levels 01, 02, 03 &amp; 04</t>
  </si>
  <si>
    <t>PPC steel planter; fixed to reinforced concrete slabs; 3520mm long x 600mm wide x 670mm high; on levels 01, 02, 03 &amp; 04</t>
  </si>
  <si>
    <t>Installation of planters</t>
  </si>
  <si>
    <r>
      <rPr>
        <b/>
        <u/>
        <sz val="11"/>
        <rFont val="Arial"/>
      </rPr>
      <t xml:space="preserve">Balcony planting palette
</t>
    </r>
    <r>
      <rPr>
        <sz val="11"/>
        <rFont val="Arial"/>
      </rPr>
      <t>Hedera helix; 10-50cm high; 0.7m centres; 2nr/m2; 3L pot size</t>
    </r>
  </si>
  <si>
    <t>Fatsia japonica; 20-30cm high; 0.3m centres; 11nr/m2; 2L pot size</t>
  </si>
  <si>
    <t>Anemone x hybrida 'Honorine Jobert'; 10-20cm high; 0.3m centres; 11nr/m2; 2L pot size</t>
  </si>
  <si>
    <t>Lavandula angustifolia; 15-20cm high; 0.4m centres; 6nr/m2; 5L pot size</t>
  </si>
  <si>
    <t>Pachysandra terminalis; 10-20cm high; 0.3m centres; 11nr/m2; 0.5L pot size</t>
  </si>
  <si>
    <r>
      <rPr>
        <b/>
        <u/>
        <sz val="11"/>
        <rFont val="Arial"/>
      </rPr>
      <t xml:space="preserve">Maintenance
</t>
    </r>
    <r>
      <rPr>
        <sz val="11"/>
        <rFont val="Arial"/>
      </rPr>
      <t>Carry out maintenance of plants in accordance with NBS clauses Q31/710, Q31/750, Q31/760, Q31/780 &amp; Q31/790</t>
    </r>
  </si>
  <si>
    <t>5/1/7</t>
  </si>
  <si>
    <t>Page Total : 5/1/1</t>
  </si>
  <si>
    <t>Page Total : 5/1/2</t>
  </si>
  <si>
    <t>Page Total : 5/1/3</t>
  </si>
  <si>
    <t>Page Total : 5/1/4</t>
  </si>
  <si>
    <t>Page Total : 5/1/5</t>
  </si>
  <si>
    <t>Page Total : 5/1/6</t>
  </si>
  <si>
    <t>Page Total : 5/1/7</t>
  </si>
  <si>
    <t>22-004I 10/03/2025 13:08:21 Page : 29</t>
  </si>
  <si>
    <t>Stairs</t>
  </si>
  <si>
    <t>6</t>
  </si>
  <si>
    <r>
      <rPr>
        <b/>
        <u/>
        <sz val="11"/>
        <rFont val="Arial"/>
      </rPr>
      <t xml:space="preserve">STAIRS AND BALUSTRADING
E In situ concrete/Large precast concrete
E60 Precast/ composite concrete floors/ roof decks/ stairs 
PROPRIETARY FLOORS/ ROOF DECKS/ /STAIRS 
Precast stair flights and half landings; allow for Type A finish to BS8110 Part 1 Section 6.2.7.3.
</t>
    </r>
    <r>
      <rPr>
        <sz val="11"/>
        <rFont val="Arial"/>
      </rPr>
      <t>Specialist design</t>
    </r>
  </si>
  <si>
    <t>Visit site for survey prior to any manufacture</t>
  </si>
  <si>
    <t>Stair 1; comprising 10nr flights and 5nr half landings; total rise 22,200mm; first eight flights minimum 1250mm wide flights; final two flights 900mm wide; see Architect drawing numbers DGW1-BBA-Z1-ZZ-DR-A-7601 P06 &amp; DGW1-BBA-Z1-ZZ-DR-A-7602 P04 for further details</t>
  </si>
  <si>
    <t>Stair 2; comprising 8nr flights and 4nr half landings; total rise 17,175mm; minimum 1250mm wide flights; see Architect drawing numbers DGW1-BBA-Z1-ZZ-DR-A-7611 P02 &amp; DGW1-BBA-Z1-ZZ-DR-A-7612 P04 for further details</t>
  </si>
  <si>
    <t>Wet works to half landings (BWIC allowance - generally carried out by groundworker)</t>
  </si>
  <si>
    <t>Secondary steelwork allowance for two precast concrete staircases</t>
  </si>
  <si>
    <t>Class A soffit finish to staircase flight soffits</t>
  </si>
  <si>
    <t>Class A soffit finish to half landings</t>
  </si>
  <si>
    <r>
      <rPr>
        <b/>
        <u/>
        <sz val="11"/>
        <rFont val="Arial"/>
      </rPr>
      <t xml:space="preserve">Steps
</t>
    </r>
    <r>
      <rPr>
        <sz val="11"/>
        <rFont val="Arial"/>
      </rPr>
      <t>Set of two steps; Approx 2040mm long; comprising 2nr 150mm high risers, 1nr 300mm wide tread plus 482.5mm wide landing; 12mm thick support plate required to door threshold to form step support; timber framework and 8mm thick anti-slip galvanised plate with 50mm nosing edge (Round edges required to top surface) required to be formed across threshold and be fixed into top of support plate using countersink fixings and onto support steelwork, Steel risers/stringers required. to Sub contractor details.; see Architect drawing number DGW1-BBA-Z1-ZZ-DR-A-7427 P03</t>
    </r>
  </si>
  <si>
    <r>
      <rPr>
        <b/>
        <u/>
        <sz val="11"/>
        <rFont val="Arial"/>
      </rPr>
      <t xml:space="preserve">Steps balustrade
</t>
    </r>
    <r>
      <rPr>
        <sz val="11"/>
        <rFont val="Arial"/>
      </rPr>
      <t>PPC steel balustrade posts 50x20 (metallic paint colour to match curtain walling) comprising 50mm x 10mm PPC steel vertical rails at 100mm centres with PPC to either side of Steps fixed back to balustrade post with offset radius elbow brackets. 40mm dia Brushed Stainless steel handrails fixed back to offset elbow into posts and wall linings 900mm above FL</t>
    </r>
  </si>
  <si>
    <t>6/1/1</t>
  </si>
  <si>
    <t>22-004I 10/03/2025 13:08:21 Page : 30</t>
  </si>
  <si>
    <r>
      <rPr>
        <b/>
        <u/>
        <sz val="11"/>
        <rFont val="Arial"/>
      </rPr>
      <t xml:space="preserve">L Windows/Doors/Stairs
L30 Stairs/ladders/walkways/handrails/balustrades
Steel ladders; See NBS clause L30/410
</t>
    </r>
    <r>
      <rPr>
        <sz val="11"/>
        <rFont val="Arial"/>
      </rPr>
      <t>Specialist design; see NBS clause L30/105</t>
    </r>
  </si>
  <si>
    <t>Permanently-fixed vertical ladder systems Type A; To Stair Overrun Roof (If Required); Manufacturer: Eurosafe Solutions Ltd; Product reference: Ascent Access Ladders; Rungs: Required. Platforms Material: PPC Black Safety cage: Required. Width: 400 mm. Height: 4737-4967 mm. Length: 1500 mm.</t>
  </si>
  <si>
    <r>
      <rPr>
        <b/>
        <u/>
        <sz val="11"/>
        <rFont val="Arial"/>
      </rPr>
      <t xml:space="preserve">Fall arrest
Guided type fall arrest systems Type A; see NBS clause L30/415
</t>
    </r>
    <r>
      <rPr>
        <sz val="11"/>
        <rFont val="Arial"/>
      </rPr>
      <t>Pre-installation survey: Survey to be carried out by a Registered MSA Latchways Installer.</t>
    </r>
  </si>
  <si>
    <t>Manufacturer: MSA Safety (Latchways) - Fall Protection; Product reference: MSA Latchways ManSafe Constant Force® Fall Arrest / Restraint System</t>
  </si>
  <si>
    <r>
      <rPr>
        <b/>
        <u/>
        <sz val="11"/>
        <rFont val="Arial"/>
      </rPr>
      <t xml:space="preserve">Balustrade and guarding systems to new Stairs 1 &amp; 2
Purpose-made balustrades A; see NBS clause L30/550
Side fixed PPC steel balustrade (metallic paint colour to match curtain walling) comprising 50mm x 10mm PPC steel vertical rails at 100mm centres with PPC steel fascia plate and top rail. Spacings between railings should be such that prevent a 100mm sphere from passing through. Metal Balustrade designed to 0.74kN/m loading in accordance with BS-6399-1, to SE details (TBA with LABC) Brushed stainless steel handrails (or black PPC - tba with client) to either side of stair fixed back to balustrade post or adjacent wall with offset radius elbow brackets.
To staircases
</t>
    </r>
    <r>
      <rPr>
        <sz val="11"/>
        <rFont val="Arial"/>
      </rPr>
      <t>balustrades; diagonal; with 40mm diameter brushed stainless steel handrail; see Architect drawing numbers DGW1--BBA-Z1-ZZ-DR-A-7601 P06 &amp; DGW1--BBA-Z1-ZZ-DR-A-7611 P02</t>
    </r>
  </si>
  <si>
    <t>balustrades; horizontal; with 40mm diameter brushed stainless steel handrail; see Architect drawing numbers DGW1--BBA-Z1-ZZ-DR-A-7601 P06 &amp; DGW1--BBA-Z1-ZZ-DR-A-7611 P02</t>
  </si>
  <si>
    <r>
      <rPr>
        <b/>
        <u/>
        <sz val="11"/>
        <rFont val="Arial"/>
      </rPr>
      <t xml:space="preserve">Purpose-made balustrades B; see NBS clause L30/550
Guarding: PPC stainless steel balustrade - metallic finish to match Curtain Walling Comprising 50mm x 10mm PPC steel posts with 50mm x 10mm PPC steel bottom and top flats with 50x10mm PPC infill bars at approx. 100mm centres
To terraces
</t>
    </r>
    <r>
      <rPr>
        <sz val="11"/>
        <rFont val="Arial"/>
      </rPr>
      <t>balustrades; horizontal; approx 1600mm high; see Architect drawing number DGW1-BBA-Z1-ZZ-DR-A-7422 P04 for detail</t>
    </r>
  </si>
  <si>
    <t>1st Fix stubs installed earlier in programme than balustrade installation</t>
  </si>
  <si>
    <r>
      <rPr>
        <b/>
        <u/>
        <sz val="11"/>
        <rFont val="Arial"/>
      </rPr>
      <t xml:space="preserve">Purpose-made handrails; to staircases and landings; see NBS clause L30/570
Wall-mounted handrails to staircases and landings - internal; 42mm diameter to match balustrading; Polished stainless steel; fixed to wall with brackets to SC design, finish to match handrail
</t>
    </r>
    <r>
      <rPr>
        <sz val="11"/>
        <rFont val="Arial"/>
      </rPr>
      <t>diagonal; 42mm diameter polished stainless steel; fixed to walls on stainless steel brackets; see Architect drawing numbers DWG1-BBA-Z1-ZZ-DR-A-7601 P06 &amp; DWG1-BBA-Z1-ZZ-DR-A-7611 P02</t>
    </r>
  </si>
  <si>
    <t>horizontal; 42mm diameter polished stainless steel; fixed to walls on stainless steel brackets; see Architect drawing numbers DWG1-BBA-Z1-ZZ-DR-A-7601 P06 &amp; DWG1-BBA-Z1-ZZ-DR-A-7611 P02</t>
  </si>
  <si>
    <r>
      <rPr>
        <b/>
        <u/>
        <sz val="11"/>
        <rFont val="Arial"/>
      </rPr>
      <t xml:space="preserve">M Surface finishes
M10 Cement based levelling/ wearing screeds
</t>
    </r>
    <r>
      <rPr>
        <sz val="11"/>
        <rFont val="Arial"/>
      </rPr>
      <t>45mm thick cementitious screed to half landings</t>
    </r>
  </si>
  <si>
    <t>15mm thick latex screed to main landings</t>
  </si>
  <si>
    <r>
      <rPr>
        <b/>
        <u/>
        <sz val="11"/>
        <rFont val="Arial"/>
      </rPr>
      <t xml:space="preserve">P20 Unframed isolated trims/ skirtings/ sundry items
Hardwood skirtings generally; See NBS clause P20/110
To stairs
</t>
    </r>
    <r>
      <rPr>
        <sz val="11"/>
        <rFont val="Arial"/>
      </rPr>
      <t>American white oak skirting; 12.5 x 125mm; to half landings</t>
    </r>
  </si>
  <si>
    <t>American white oak stringers</t>
  </si>
  <si>
    <t>6/1/2</t>
  </si>
  <si>
    <t>Page Total : 6/1/1</t>
  </si>
  <si>
    <t>Page Total : 6/1/2</t>
  </si>
  <si>
    <t>22-004I 10/03/2025 13:08:21 Page : 32</t>
  </si>
  <si>
    <t>External Walls</t>
  </si>
  <si>
    <t>7</t>
  </si>
  <si>
    <r>
      <rPr>
        <b/>
        <u/>
        <sz val="11"/>
        <rFont val="Arial"/>
      </rPr>
      <t xml:space="preserve">EXTERNAL WALLS
Brickwork and Blockwork
Clay facing brickwork Type A; La Paloma Glazed Verde Termilino; 10mm dark grey mortar joints, half lap stretcher bond and bucket handle joints; as F10/110A and drawings BBA-Z1-(00/01/02/03/04/05)-DR-A-2101 &amp; 2102, BBA-Z1-ZZ-DR-A-4402 to 4419 and BBA-Z1-Z-DR-A-7650 to 7655, 7671 &amp; 7672
</t>
    </r>
    <r>
      <rPr>
        <sz val="11"/>
        <rFont val="Arial"/>
      </rPr>
      <t>Walls; half brick thick; facework one side</t>
    </r>
  </si>
  <si>
    <t>Extra over for reducing cavity to form 25mm recessed brick panels</t>
  </si>
  <si>
    <t>Reveals to recessed panels, 25mm wide; vertical</t>
  </si>
  <si>
    <t>Reveals to recessed panels, 25mm wide; horizontal</t>
  </si>
  <si>
    <t>Reveals to openings, 100mm wide; vertical</t>
  </si>
  <si>
    <t>Isolated columns; half brick thick; facework one side</t>
  </si>
  <si>
    <t>Extra over for specials to suit splay to NW façade column on Grid 9/C (external angle); as drawings BBA-Z1-ZZ-DR-A-7650 &amp; 7651</t>
  </si>
  <si>
    <t>Extra over for specials to suit NW façade column on Grid 9/C (internal angle); as drawing BBA-Z1-ZZ-DR-A-7650 &amp; 7651</t>
  </si>
  <si>
    <t>Allow for cutting bricks to suit non-coordinating brickwork dimension; as drawing BBA-Z1-ZZDR-A-7654</t>
  </si>
  <si>
    <r>
      <rPr>
        <b/>
        <u/>
        <sz val="11"/>
        <rFont val="Arial"/>
      </rPr>
      <t xml:space="preserve">Clay facing brickwork Type B; La Paloma Pirineo Brillo; 10mm white mortar joints, half lap stretcher bond and bucket handle joints; as F10/110B and drawings BBA-Z1-(00/01/02/03/04/05)-DR-A-2101 &amp; 2102, BBA-Z1-ZZ-DR-A-4402 to 4419 and BBA-Z1-Z-DR-A-7650 to 7655, 7671 &amp; 7672
</t>
    </r>
    <r>
      <rPr>
        <sz val="11"/>
        <rFont val="Arial"/>
      </rPr>
      <t>Walls; half brick thick; facework one side</t>
    </r>
  </si>
  <si>
    <t>Extra over for pistol bricks to perimeters of soffits; as drawing 4416 (detail sections 04, 05, 10 &amp; 11)</t>
  </si>
  <si>
    <t>Extra over for cut brick (pistol bricks?) to suit masonry support angles; as drawing 7671 (detail sections 01, 02, 03, 04, 05, 08, 09, 11 &amp; 12)</t>
  </si>
  <si>
    <t>Extra over for 'Cut and Stick' specials to suit NW façade on Grid C/11 (external angle); as drawing BBA-Z1-ZZ-DR-A-7655 (F10/110B)</t>
  </si>
  <si>
    <t>7/1/1</t>
  </si>
  <si>
    <t>22-004I 10/03/2025 13:08:21 Page : 33</t>
  </si>
  <si>
    <r>
      <rPr>
        <b/>
        <u/>
        <sz val="11"/>
        <rFont val="Arial"/>
      </rPr>
      <t xml:space="preserve">Clay facing brickwork Type B; La Paloma Pirineo Brillo; 10mm white mortar joints, half lap stretcher bond and bucket handle joints; as F10/110B and drawings BBA-Z1-(00/01/02/03/04/05)-DR-A-2101 &amp; 2102, BBA-Z1-ZZ-DR-A-4402 to 4419 and BBA-Z1-Z-DR-A-7650 to 7655, 7671 &amp; 7672
</t>
    </r>
    <r>
      <rPr>
        <sz val="11"/>
        <rFont val="Arial"/>
      </rPr>
      <t>Extra over for 'Cut and Stick' specials to suit NW façade on Grid C/11 (external angle); as drawing BBA-Z1-ZZ-DR-A-7655 (F10/110B)</t>
    </r>
  </si>
  <si>
    <t>Reveals; vertical</t>
  </si>
  <si>
    <t>Walls; edges of entrance canopy / slab overhangs to terraces, including parapet; half brick thick; facework one side</t>
  </si>
  <si>
    <t>Extra over for reducing cavity to form 25mm recessed brick panels (measured above)</t>
  </si>
  <si>
    <t>Extra over for pistol bricks to perimeters of soffits; as drawings 4405, 4406, 4407 &amp; 4414 (measured above)</t>
  </si>
  <si>
    <t>Extra over for specials to suit splay to NE façade on Grid 10/A (external angle); as drawing BBA-Z1-ZZ-DR-A-7653 (measured below)</t>
  </si>
  <si>
    <t>Extra over for specials to suit splay to NW façade column on Grid 10/A (external angle); as drawing BBA-Z1-ZZ-DR-A-7653 (F10/110A)</t>
  </si>
  <si>
    <r>
      <rPr>
        <b/>
        <u/>
        <sz val="11"/>
        <rFont val="Arial"/>
      </rPr>
      <t xml:space="preserve">Mixing Facings
</t>
    </r>
    <r>
      <rPr>
        <sz val="11"/>
        <rFont val="Arial"/>
      </rPr>
      <t>Provisional allowance for mixing of bricks either in factory or on site</t>
    </r>
  </si>
  <si>
    <r>
      <rPr>
        <b/>
        <u/>
        <sz val="11"/>
        <rFont val="Arial"/>
      </rPr>
      <t xml:space="preserve">Mastclimber Tie Positions
</t>
    </r>
    <r>
      <rPr>
        <sz val="11"/>
        <rFont val="Arial"/>
      </rPr>
      <t>Infil mastclimber tie positions on completion of works</t>
    </r>
  </si>
  <si>
    <r>
      <rPr>
        <b/>
        <u/>
        <sz val="11"/>
        <rFont val="Arial"/>
      </rPr>
      <t xml:space="preserve">Forming Cavities; between walls and boarded SFS studs / parapet channels; as NBS F30/155, F30/215 &amp; K11/50 and drawings BBA-Z1-(00/01/02/03/04/05)-DR-A-2101 &amp; 2102, BBA-Z1-ZZ-DR-A-4403, 4416, 6551, 7650 to 7655, 7671 &amp; 7070 to 7079
</t>
    </r>
    <r>
      <rPr>
        <sz val="11"/>
        <rFont val="Arial"/>
      </rPr>
      <t>175mm wide; Type 1 heavy duty channel wall tie restraint system; as F30/215 (Note: Cavities reduced by 25mm to suit recessed brickwork panels where required - see E/O Brickwork items for quantities)</t>
    </r>
  </si>
  <si>
    <t>175mm wide; 90mm thick partial fill Rockwool Duoslab mineral wool slab insulation; Type 1 heavy duty channel wall tie restraint system; as F30/155 &amp; F30/215 (Note: Cavities reduced by 25mm to suit recessed brickwork panels where required - see E/O Brickwork items for quantities)</t>
  </si>
  <si>
    <t>7/1/2</t>
  </si>
  <si>
    <t>22-004I 10/03/2025 13:08:21 Page : 34</t>
  </si>
  <si>
    <r>
      <rPr>
        <b/>
        <u/>
        <sz val="11"/>
        <rFont val="Arial"/>
      </rPr>
      <t xml:space="preserve">Forming Cavities / building walls against concrete upstands, slab edges &amp; (boarded) support steel; as NBS F10/215 and drawings BBA-Z1-ZZ-DR-A-4405, 4406, 4407, 4414 &amp; 7672
</t>
    </r>
    <r>
      <rPr>
        <sz val="11"/>
        <rFont val="Arial"/>
      </rPr>
      <t>Minimum 50mm - maximum 187.5mm wide; varies to suit structure behind; Type 1 heavy duty channel wall tie restraint system; as F30/215 (Note: Masonry support to fix brickwork back to structure measured separately)</t>
    </r>
  </si>
  <si>
    <r>
      <rPr>
        <b/>
        <u/>
        <sz val="11"/>
        <rFont val="Arial"/>
      </rPr>
      <t xml:space="preserve">Forming Cavities; between walls and boarded SFS studs / support steel to form columns; as NBS F30/215 and drawings BBA-Z1-ZZ-DR-A-7650 to 7654
</t>
    </r>
    <r>
      <rPr>
        <sz val="11"/>
        <rFont val="Arial"/>
      </rPr>
      <t>60mm wide; Type 1 heavy duty channel wall tie restraint system; as F30/215</t>
    </r>
  </si>
  <si>
    <t>Extra over for increasing cavity to 175mm wide to 1Nr face of columns on Grid 1B and 1/C; as drawing 7652</t>
  </si>
  <si>
    <r>
      <rPr>
        <b/>
        <u/>
        <sz val="11"/>
        <rFont val="Arial"/>
      </rPr>
      <t xml:space="preserve">Wall Sheathing Type A; 12.5mm thick Siniat Weather Defence Board; Euroclass Fire Rating A1; GTEC Fire Rated Silicone Sealant and Weather DefenceT Joint Tape; fixed back to SFS studs / support steel; as NBS F30/190A, K11/50 &amp; K11/485A and drawings BBA-Z1-(00/01/02/03/04/05)-DR-A-2101 &amp; 2102, BBA-Z1-ZZ-DR-A-4403, 4416, 6551, 7650 to 7655, 7671, 7070 to 7079 &amp; 7426
</t>
    </r>
    <r>
      <rPr>
        <sz val="11"/>
        <rFont val="Arial"/>
      </rPr>
      <t>Inner 'leaf' of cavity walls; 1Nr layer</t>
    </r>
  </si>
  <si>
    <t>Horizontal to top of brickwork at interface with cladding; width exceeding 300mm; 1Nr layer; as drawing 7426</t>
  </si>
  <si>
    <t>Horizontal reveals not exceeding 300mm; 1Nr layer</t>
  </si>
  <si>
    <t>Horizontal to top of brickwork at interface with cladding; width not exceeding 300mm; 2Nr layers; as drawing 7426</t>
  </si>
  <si>
    <t>Vertical reveals not exceeding 300mm; 1Nr layer</t>
  </si>
  <si>
    <t>Vertical 'Ripper Board' to cover deflection head gap at interface between upper floor slabs and balcony slabs; board to be fixed to EOS angle, then EOS angle to be fixed into concrete soffit; beads of GTEC fire rated sealant required; width not exceeding 300mm; 1Nr layer; as drawing 7073</t>
  </si>
  <si>
    <t>Isolated columns; overall girth 1800 - 2400mm; 4Nr faces; 1Nr layer; as drawings 7653 &amp; 7654</t>
  </si>
  <si>
    <t>Allow for cutting / sealing board to suit rainwater pipes; as drawing 7653</t>
  </si>
  <si>
    <t>Isolated columns; overall girth 3000 - 3600mm; 4Nr faces; 1Nr layer; as drawing 7652</t>
  </si>
  <si>
    <t>Isolated columns; overall girth 3600 - 4200mm; 6Nr faces; 1Nr layer; as drawings 7650 &amp; 7651</t>
  </si>
  <si>
    <r>
      <rPr>
        <b/>
        <u/>
        <sz val="11"/>
        <rFont val="Arial"/>
      </rPr>
      <t xml:space="preserve">Breather Membranes
</t>
    </r>
    <r>
      <rPr>
        <sz val="11"/>
        <rFont val="Arial"/>
      </rPr>
      <t>DuPont Tyvek Firecurb Breather Membrane which is compatible with the Siniat thruwall ETW 112 system.</t>
    </r>
  </si>
  <si>
    <t>7/1/3</t>
  </si>
  <si>
    <t>22-004I 10/03/2025 13:08:21 Page : 35</t>
  </si>
  <si>
    <r>
      <rPr>
        <b/>
        <u/>
        <sz val="11"/>
        <rFont val="Arial"/>
      </rPr>
      <t xml:space="preserve">Non-Combustible cavity tray DPC; Visqueen Zedex CPT High Performance DPC; as NBS F30/330
</t>
    </r>
    <r>
      <rPr>
        <sz val="11"/>
        <rFont val="Arial"/>
      </rPr>
      <t>Horizontal; width 470mm</t>
    </r>
  </si>
  <si>
    <t>Vertical; width 470mm</t>
  </si>
  <si>
    <t>Horizontal; width 470mm (external wall cavity zone formed above lead flashing zones)</t>
  </si>
  <si>
    <t>Horizontal; width 470mm (external wall cavity zone formed above lead flashing zones - to reveals of openings) (28Nr brick reveals)</t>
  </si>
  <si>
    <r>
      <rPr>
        <b/>
        <u/>
        <sz val="11"/>
        <rFont val="Arial"/>
      </rPr>
      <t xml:space="preserve">Perpend joint weep holes; Rytons RYTWEA1METAL - Rytons A1® Fire-rated Metal Rytweep; non-combustible metal zinc coated; as NBS F30/132
</t>
    </r>
    <r>
      <rPr>
        <sz val="11"/>
        <rFont val="Arial"/>
      </rPr>
      <t>Above cavity trays at maximum 1000mm centres and minimum 2Nr over openings</t>
    </r>
  </si>
  <si>
    <r>
      <rPr>
        <b/>
        <u/>
        <sz val="11"/>
        <rFont val="Arial"/>
      </rPr>
      <t xml:space="preserve">Cavity Barriers - 'Closed State' Vertical / Horizontal Cavity Barriers 60/60 Type B to achieve 60/15; Siderise Vertical EW-FS120 and Horizontal EW-FS120; 120mm thick; Sound insulation rating: 25 Rw (dB); 'Tight-fit' friction fit and fixing brackets; to include integral Class B DPC; as NBS F30/180B and drawings BBA-Z1-ZZ-DR-A-4402 to 4419 and BBA-Z1-Z-DR-A-7650 to 7655, 7671 &amp; 7672; locations as drawings BBA-Z1-ZZ-SH-A-3451, 3452 &amp; 3453 and BBA-Z1-(00/01/02/03/04/05)-DR-A-2101 &amp; 2102
</t>
    </r>
    <r>
      <rPr>
        <sz val="11"/>
        <rFont val="Arial"/>
      </rPr>
      <t>Horizontal; 20mm - 350mm residual cavity width</t>
    </r>
  </si>
  <si>
    <r>
      <rPr>
        <b/>
        <u/>
        <sz val="11"/>
        <rFont val="Arial"/>
      </rPr>
      <t xml:space="preserve">Cavity Closers - 'Closed State' Vertical / Horizontal Cavity Barriers 60/60 Type B to achieve 60/15; Siderise Vertical EW-FS120 and Horizontal EW-FS120; 120mm thick; Sound insulation rating: 25 Rw (dB); 'Tight-fit' friction fit and fixing brackets; to include integral Class B DPC; as NBS F30/180B and drawings BBA-Z1-ZZ-DR-A-4402 to 4419 and BBA-Z1-Z-DR-A-7650 to 7655, 7671 &amp; 7672; locations as drawings BBA-Z1-ZZ-SH-A-3451, 3452 &amp; 3453 and BBA-Z1-(00/01/02/03/04/05)-DR-A-2101 &amp; 2102
</t>
    </r>
    <r>
      <rPr>
        <sz val="11"/>
        <rFont val="Arial"/>
      </rPr>
      <t>Vertical; 20mm - 450mm residual cavity width</t>
    </r>
  </si>
  <si>
    <r>
      <rPr>
        <b/>
        <u/>
        <sz val="11"/>
        <rFont val="Arial"/>
      </rPr>
      <t xml:space="preserve">Cavity Barriers - 'Closed State' Vertical / Horizontal Cavity Barriers 120/120 Type B to achieve 120/120; Siderise Vertical EW-FS120 and Horizontal EW-FS120; 120mm thick; Sound insulation rating: 25 Rw (dB); 'Tight-fit' friction fit and fixing brackets; to include integral Class B DPC; as NBS F30/180B and drawings BBA-Z1-ZZ-DR-A-4402 to 4419 and BBA-Z1-Z-DR-A-7650 to 7655, 7671 &amp; 7672; locations as drawings BBA-Z1-ZZ-SH-A-3451, 3452 &amp; 3453 and BBA-Z1-(00/01/02/03/04/05)-DR-A-2101 &amp; 2102
</t>
    </r>
    <r>
      <rPr>
        <sz val="11"/>
        <rFont val="Arial"/>
      </rPr>
      <t>Horizontal; 20mm - 350mm residual cavity width</t>
    </r>
  </si>
  <si>
    <r>
      <rPr>
        <b/>
        <u/>
        <sz val="11"/>
        <rFont val="Arial"/>
      </rPr>
      <t xml:space="preserve">Cavity Closers - 'Closed State' Vertical / Horizontal Cavity Barriers 120/120 Type B to achieve 120/120; Siderise Vertical EW-FS120 and Horizontal EW-FS120; 120mm thick; Sound insulation rating: 25 Rw (dB); 'Tight-fit' friction fit and fixing brackets; to include integral Class B DPC; as NBS F30/180B and drawings BBA-Z1-ZZ-DR-A-4402 to 4419 and BBA-Z1-Z-DR-A-7650 to 7655, 7671 &amp; 7672; locations as drawings BBA-Z1-ZZ-SH-A-3451, 3452 &amp; 3453 and BBA-Z1-(00/01/02/03/04/05)-DR-A-2101 &amp; 2102
</t>
    </r>
    <r>
      <rPr>
        <sz val="11"/>
        <rFont val="Arial"/>
      </rPr>
      <t>Vertical; 20mm - 450mm residual cavity width</t>
    </r>
  </si>
  <si>
    <r>
      <rPr>
        <b/>
        <u/>
        <sz val="11"/>
        <rFont val="Arial"/>
      </rPr>
      <t xml:space="preserve">Cavity Barriers - Vertical / Horizontal Cavity Barriers 30/30 Reveals and Normal 20m barriers Type C to achieve 30/15; Siderise EW - Cavity Barriers and Fire Stops for Masonry External Walls (EWCB30); 75mm thick; Sound insulation rating: 21 Rw (dB); 'Tight-fit' friction fit and fixing brackets; to include integral Class B DPC; as NBS F30/180C and drawings BBA-Z1-ZZ-DR-A-4402 to 4419 and BBA-Z1-Z-DR-A-7650 to 7655, 7671 &amp; 7672; locations as drawings BBA-Z1-ZZ-SH-A-3451, 3452 &amp; 3453 and BBA-Z1-(00/01/02/03/04/05)-DR-A-2101 &amp; 2102
</t>
    </r>
    <r>
      <rPr>
        <sz val="11"/>
        <rFont val="Arial"/>
      </rPr>
      <t>Horizontal; 51mm - 450mm residual cavity width</t>
    </r>
  </si>
  <si>
    <r>
      <rPr>
        <b/>
        <u/>
        <sz val="11"/>
        <rFont val="Arial"/>
      </rPr>
      <t xml:space="preserve">Cavity Closers - Vertical / Horizontal Cavity Barriers 30/30 Reveals and Normal 20m barriers Type C to achieve 30/15; Siderise EW - Cavity Barriers and Fire Stops for Masonry External Walls (EWCB30); 75mm thick; Sound insulation rating: 21 Rw (dB); 'Tight-fit' friction fit and fixing brackets; to include integral Class B DPC; as NBS F30/180C and drawings BBA-Z1-ZZ-DR-A-4402 to 4419 and BBA-Z1-Z-DR-A-7650 to 7655, 7671 &amp; 7672; locations as drawings BBA-Z1-ZZ-SH-A-3451, 3452 &amp; 3453 and BBA-Z1-(00/01/02/03/04/05)-DR-A-2101 &amp; 2102
</t>
    </r>
    <r>
      <rPr>
        <sz val="11"/>
        <rFont val="Arial"/>
      </rPr>
      <t>Vertical; 51mm - 450mm residual cavity width</t>
    </r>
  </si>
  <si>
    <t>7/1/4</t>
  </si>
  <si>
    <t>22-004I 10/03/2025 13:08:21 Page : 36</t>
  </si>
  <si>
    <r>
      <rPr>
        <b/>
        <u/>
        <sz val="11"/>
        <rFont val="Arial"/>
      </rPr>
      <t xml:space="preserve">Fire rated Movement Joints; Celltex FireStop Fire rated expansion joint to external brickwork; closed cell polyethylene foam filler, thickness to match joint width; sealed with Sika fire rated joint sealant, Sikasil - 670 Fire; as NBS F30/610B and drawings BBA-Z1-(00/01/02/03/04/05)-DR-A-2101 &amp; 2102 and BBA-Z1-ZZ-DR-A-3221, 3222, 3223, 7652 &amp; 7671
</t>
    </r>
    <r>
      <rPr>
        <sz val="11"/>
        <rFont val="Arial"/>
      </rPr>
      <t>Horizontal movement joints; at masonry support angle locations (excluding soffit overhang / canopy edges); as drawing 7671</t>
    </r>
  </si>
  <si>
    <t>Vertical movement joints; wall ties to be formed max 225mm away from joint and at max 300mm vertical centres; if cannot be achieved, slip ties required across MJ spaced at max 300mm vertical centres; as drawing 7652</t>
  </si>
  <si>
    <r>
      <rPr>
        <b/>
        <u/>
        <sz val="11"/>
        <rFont val="Arial"/>
      </rPr>
      <t xml:space="preserve">Siderise TW-FS120 Fire Stop and Resin impregnated precompressed foam sealing strips; Illbruck Illmod TP600; as NBS P12/360A, F30/610A and drawing BBA-Z1-ZZ-DR-A-7078
</t>
    </r>
    <r>
      <rPr>
        <sz val="11"/>
        <rFont val="Arial"/>
      </rPr>
      <t>Horizontal; between brickwork and underside of UB steelwork at entrance canopy</t>
    </r>
  </si>
  <si>
    <r>
      <rPr>
        <b/>
        <u/>
        <sz val="11"/>
        <rFont val="Arial"/>
      </rPr>
      <t xml:space="preserve">ACS Single Leaf Stainless Steel Lintels; as NBS F30/265 and ACS Quotation and Mark-ups MU01 to MU03
</t>
    </r>
    <r>
      <rPr>
        <sz val="11"/>
        <rFont val="Arial"/>
      </rPr>
      <t>L1 Lintel x 1350mm long; SWL: 4.6kN; Ref: L1/1350/131/95/B/4.6</t>
    </r>
  </si>
  <si>
    <t>L1 Lintel x 1800mm long; SWL: 6.2kN; Ref: L1/1800/167/95/B/6.2</t>
  </si>
  <si>
    <t>L1 Lintel x 2400mm long; SWL: 11.5kN; Ref: L1/2400/215/95/C/11.5</t>
  </si>
  <si>
    <t>C1 Lintel x 3150mm long; SWL: 20.0kN; Ref: C1/3150/229/95/D/20</t>
  </si>
  <si>
    <t>C1 Lintel x 3150mm long; SWL: 20.0kN; Ref: C1/3150/229/95/D/20 (Note: Additional lintels assumed to SE &amp; NW elevation at ground floor as discussed with RS)</t>
  </si>
  <si>
    <t>Lintel to suit 6310mm wide opening at ground floor level (Note: Additional lintel assumed to main entrance curtain walling on NW elevation as discussed with RS)</t>
  </si>
  <si>
    <t>Allow for ACS Masonry Support Accessories as required</t>
  </si>
  <si>
    <r>
      <rPr>
        <b/>
        <u/>
        <sz val="11"/>
        <rFont val="Arial"/>
      </rPr>
      <t xml:space="preserve">ACS Masonry Support System AA; Ref: T1/I/190/16.3/S/HD; 304 Stainless Steel; 190mm cavity; SWL 16.3kN/m; fixed back to steel, including all necessary fixings; 2.667Nr brackets/metre; 195mm high brackets; as NBS F30/260 and ACS Quotation, Mark-ups MU01 to MU03 and drawing SK01 Rev A
</t>
    </r>
    <r>
      <rPr>
        <sz val="11"/>
        <rFont val="Arial"/>
      </rPr>
      <t>Horizontal; to level 2 on south west and north east elevations</t>
    </r>
  </si>
  <si>
    <r>
      <rPr>
        <b/>
        <u/>
        <sz val="11"/>
        <rFont val="Arial"/>
      </rPr>
      <t xml:space="preserve">ACS Masonry Support System BA; Ref: T1/I/190/16.3/S/SS; 304 Stainless Steel; 190mm cavity; SWL 16.3kN/m; fixed back to steel, including all necessary fixings; 2.667Nr brackets/metre; 195mm high brackets; as NBS F30/260 and ACS Quotation, Mark-ups MU01 to MU03 and drawing SK01 Rev A
</t>
    </r>
    <r>
      <rPr>
        <sz val="11"/>
        <rFont val="Arial"/>
      </rPr>
      <t>Horizontal; to level 2 on north west and south east elevations, including balcony sides</t>
    </r>
  </si>
  <si>
    <t>7/1/5</t>
  </si>
  <si>
    <t>22-004I 10/03/2025 13:08:21 Page : 37</t>
  </si>
  <si>
    <r>
      <rPr>
        <b/>
        <u/>
        <sz val="11"/>
        <rFont val="Arial"/>
      </rPr>
      <t xml:space="preserve">ACS Masonry Support System CA; Ref: T1/I/190/14.1/S/HD; 304 Stainless Steel; 190mm cavity; SWL 14.1kN/m; fixed back to steel, including all necessary fixings; 2.105Nr brackets/metre; 205mm high brackets; as NBS F30/260 and ACS Quotation, Mark-ups MU01 to MU03 and drawing SK01 Rev A
</t>
    </r>
    <r>
      <rPr>
        <sz val="11"/>
        <rFont val="Arial"/>
      </rPr>
      <t>Horizontal; to level 4 on south west and north east elevations</t>
    </r>
  </si>
  <si>
    <r>
      <rPr>
        <b/>
        <u/>
        <sz val="11"/>
        <rFont val="Arial"/>
      </rPr>
      <t xml:space="preserve">ACS Masonry Support System DA; Ref: T1/I/190/14.1/S/SS; 304 Stainless Steel; 190mm cavity; SWL 14.1kN/m; fixed back to steel, including all necessary fixings; 2.105Nr brackets/metre; 205mm high brackets; as NBS F30/260 and ACS Quotation, Mark-ups MU01 to MU03 and drawing SK01 Rev A
</t>
    </r>
    <r>
      <rPr>
        <sz val="11"/>
        <rFont val="Arial"/>
      </rPr>
      <t>Horizontal; to level 4 on north west and south east elevations, including balcony sides</t>
    </r>
  </si>
  <si>
    <t>Horizontal; to levels 3 &amp; 5 on south east elevation (Note: Additional MSA's assumed to soffit overhangs as discussed with RS)</t>
  </si>
  <si>
    <r>
      <rPr>
        <b/>
        <u/>
        <sz val="11"/>
        <rFont val="Arial"/>
      </rPr>
      <t xml:space="preserve">ACS Masonry Support System EA; Ref: T1/I/83.9/9.1/S/HD; 304 Stainless Steel; 83mm cavity; SWL 9.1kN/m; fixed back to steel, including all necessary fixings; 2Nr brackets/metre; 260mm high brackets; as NBS F30/260 and ACS Quotation, Mark-ups MU01 to MU03 and drawing SK01 Rev A
</t>
    </r>
    <r>
      <rPr>
        <sz val="11"/>
        <rFont val="Arial"/>
      </rPr>
      <t>Horizontal; to level 1 on north west and north east elevations to support canopy</t>
    </r>
  </si>
  <si>
    <r>
      <rPr>
        <b/>
        <u/>
        <sz val="11"/>
        <rFont val="Arial"/>
      </rPr>
      <t xml:space="preserve">ACS Masonry Support Angle Accessories; as ACS Quotation
</t>
    </r>
    <r>
      <rPr>
        <sz val="11"/>
        <rFont val="Arial"/>
      </rPr>
      <t>ACS General Masonry Support Corners (to ast floor canopy &amp; 4th floor)</t>
    </r>
  </si>
  <si>
    <t>ACS Detailed Masonry Support Corners; light fabrication (to 2nd floor)</t>
  </si>
  <si>
    <r>
      <rPr>
        <b/>
        <u/>
        <sz val="11"/>
        <rFont val="Arial"/>
      </rPr>
      <t xml:space="preserve">H43 Metal Panel Cladding
Metal insulating sandwich panel cladding; Euroclad Europanel F5 Extra wall cladding (900 module); Flat profile with HPS200 finish; 175mm thick mineral wool insulation to achieve minimum 0.26W/m2K U-value; vertically laid; vertical top hats required to fix horizontal rails to provide support for cladding system and to vertical cladding joints; including all components, fasteners, fixings and accessories as required; as NBS H43/120 and drawings BBA-Z1-05-DR-A-2101 &amp; 2101 and BBA-Z1-ZZ-DR-A-7426 &amp; 7427
</t>
    </r>
    <r>
      <rPr>
        <sz val="11"/>
        <rFont val="Arial"/>
      </rPr>
      <t>Wall Cladding; vertical</t>
    </r>
  </si>
  <si>
    <t>Breather membrane / vapour control layer (assumed)</t>
  </si>
  <si>
    <t>2mm PPC Aluminium drip flashing to the external edge, mechanically fixed to top of brickwork and formed as part of cladding system; as drawing 7426</t>
  </si>
  <si>
    <t>2mm PPC Aluminium drip flashing above door openings; as drawing 7427</t>
  </si>
  <si>
    <t>2mm PPC Aluminium drip flashing above roof upstand (assumed)</t>
  </si>
  <si>
    <t>7/1/6</t>
  </si>
  <si>
    <t>22-004I 10/03/2025 13:08:21 Page : 38</t>
  </si>
  <si>
    <r>
      <rPr>
        <b/>
        <u/>
        <sz val="11"/>
        <rFont val="Arial"/>
      </rPr>
      <t xml:space="preserve">H43 Metal Panel Cladding
Metal insulating sandwich panel cladding; Euroclad Europanel F5 Extra wall cladding (900 module); Flat profile with HPS200 finish; 175mm thick mineral wool insulation to achieve minimum 0.26W/m2K U-value; vertically laid; vertical top hats required to fix horizontal rails to provide support for cladding system and to vertical cladding joints; including all components, fasteners, fixings and accessories as required; as NBS H43/120 and drawings BBA-Z1-05-DR-A-2101 &amp; 2101 and BBA-Z1-ZZ-DR-A-7426 &amp; 7427
</t>
    </r>
    <r>
      <rPr>
        <sz val="11"/>
        <rFont val="Arial"/>
      </rPr>
      <t>Vertical insulated corner detailing with concealed fixings</t>
    </r>
  </si>
  <si>
    <t>Class A OBEX Cortex 0200FR Airtight/Watertight membrane to be fully bonded to rear of Europanel and IKO roofing system to provide a full watertight/airtight seal (Note: Only measured to base of cladding as indicated on drawings 7426 &amp; 7427)</t>
  </si>
  <si>
    <r>
      <rPr>
        <b/>
        <u/>
        <sz val="11"/>
        <rFont val="Arial"/>
      </rPr>
      <t xml:space="preserve">Cavity Closers - 'Closed State' Vertical / Horizontal Cavity Barriers 60/60 Type B to achieve 60/15; Siderise Vertical EW-FS120 and Horizontal EW-FS120; 120mm thick; Sound insulation rating: 25 Rw (dB); 'Tight-fit' friction fit and fixing brackets; to include integral Class B DPC; as NBS F30/180B and drawings BBA-Z1-ZZ-DR-A-4402 to 4419 and BBA-Z1-Z-DR-A-7650 to 7655, 7671 &amp; 7672; locations as drawings BBA-Z1-ZZ-SH-A-3451, 3452 &amp; 3453 and BBA-Z1-(00/01/02/03/04/05)-DR-A-2101 &amp; 2102
</t>
    </r>
    <r>
      <rPr>
        <sz val="11"/>
        <rFont val="Arial"/>
      </rPr>
      <t>Horizontal; 20mm - 350mm residual cavity width</t>
    </r>
  </si>
  <si>
    <t>Vertical; 20mm - 450mm residual cavity width</t>
  </si>
  <si>
    <r>
      <rPr>
        <b/>
        <u/>
        <sz val="11"/>
        <rFont val="Arial"/>
      </rPr>
      <t xml:space="preserve">Structural Framing Systems
</t>
    </r>
    <r>
      <rPr>
        <sz val="11"/>
        <rFont val="Arial"/>
      </rPr>
      <t>Note: External Wall Type ETW134F between main accommodation and LV switch / bin store as shown on drawing BBA-Z1-ZZ-DR-A-6551 measured in Internal Walls &amp; Partitions BQ.</t>
    </r>
  </si>
  <si>
    <t>Note: All plasterboard to be pre-cut off site.</t>
  </si>
  <si>
    <r>
      <rPr>
        <b/>
        <u/>
        <sz val="11"/>
        <rFont val="Arial"/>
      </rPr>
      <t xml:space="preserve">EOS Light Gauge Façade Steel Framing System as part of Siniat Thruwall Systems ETW 112A and ETW 112F; 150mm wide G600 studs; including all system components, fixngs and accessories as required; all to Specialist's details, NBS K11/796B, Siniat Thruwall project pack and drawings ADPT-AA-ZZ-DR-N-0001 to 0015, BBA-Z1-ZZ-DR-A-6551, 7650 to 7655 and BBA-Z1-(00/01/02/03/04)-DR-A-2101 &amp; 2102
</t>
    </r>
    <r>
      <rPr>
        <sz val="11"/>
        <rFont val="Arial"/>
      </rPr>
      <t>Wall systems; as Adept drawings 0001 to 0015</t>
    </r>
  </si>
  <si>
    <t>Extra framing to perimeter of openings; allow for double studs</t>
  </si>
  <si>
    <t>Allow for additional stud support at movement joints; locations as Adept drawings 0001 to 0014</t>
  </si>
  <si>
    <t>SFS column infill detail to 2Nr south east columns; outer girth 3160mm; 4Nr faces; built around steel columns; as BBA drawing 7652</t>
  </si>
  <si>
    <t>SFS column infill detail to 2Nr south east columns; outer girth 2260mm; 4Nr faces; built around steel columns; as BBA drawing 7653</t>
  </si>
  <si>
    <t>SFS column infill detail to 1Nr north west column; outer girth 2220mm; 4Nr faces; built around steel column; as BBA drawing 7653</t>
  </si>
  <si>
    <t>SFS column infill detail to 1Nr north west column; outer girth 2430mm; 4Nr faces; built around steel column; as BBA drawings 7650 &amp; 7651 (these details have additional fire encasing to columns (measured elsewhere), the omission of a cold rolled angle and the additional of 2 Nr vertical Z bars)</t>
  </si>
  <si>
    <t>SFS column infill detail to 3Nr north west columns; outer girth 2400mm; 4Nr faces; built around steel column; as BBA drawing 7654</t>
  </si>
  <si>
    <t>7/1/7</t>
  </si>
  <si>
    <t>22-004I 10/03/2025 13:08:21 Page : 39</t>
  </si>
  <si>
    <r>
      <rPr>
        <b/>
        <u/>
        <sz val="11"/>
        <rFont val="Arial"/>
      </rPr>
      <t xml:space="preserve">EOS Light Gauge Façade Steel Framing System as part of Siniat Thruwall Systems ETW 112A and ETW 112F; 150mm wide G600 studs; including all system components, fixngs and accessories as required; all to Specialist's details, NBS K11/796B, Siniat Thruwall project pack and drawings ADPT-AA-ZZ-DR-N-0001 to 0015, BBA-Z1-ZZ-DR-A-6551, 7650 to 7655 and BBA-Z1-(00/01/02/03/04)-DR-A-2101 &amp; 2102
</t>
    </r>
    <r>
      <rPr>
        <sz val="11"/>
        <rFont val="Arial"/>
      </rPr>
      <t>SFS Beam infills; to suit beam depth as required; as Detail A on Adept drawing 0015 and locations as drawings 0001 to 0014</t>
    </r>
  </si>
  <si>
    <t>25x25x2mm Z bar at 400mm centres; Z bar to be intumescent painted; as Detail B on Adept drawing 0015 and locations as drawings 0001 to 0014 (Note: Quantity is total length requiring Z bars at stated centres)</t>
  </si>
  <si>
    <t>40x40x3mm cleats; as Detail C on Adept drawing 0015 and locations as drawings 0001 to 0014</t>
  </si>
  <si>
    <t>Column plate support required for SFS support; allow SFS fixing to column to be intumescent protected; locations as Adept drawings 0001 to 0014</t>
  </si>
  <si>
    <r>
      <rPr>
        <b/>
        <u/>
        <sz val="11"/>
        <rFont val="Arial"/>
      </rPr>
      <t xml:space="preserve">Air and Vapour Control Layer Type C and Polymer based Adhesive Sealant Tapes Type B; Procheck Adapt FR200 reinforced, black lacquered, foil faced vapour control layer with SIGA Rissan 150 Flexible Air Tightness Tape between VCL and steelwork junctions as required; as NBS P10/310A &amp; 310B and drawings BBA-Z1-ZZ-DR-A-7050, 7051, 7070 to 7079, 7426, 7650 to 7655 &amp; 7671
</t>
    </r>
    <r>
      <rPr>
        <sz val="11"/>
        <rFont val="Arial"/>
      </rPr>
      <t>Horizontal and vertical; between plasterboard and SFS and fully sealed onto weather defence board in reveals</t>
    </r>
  </si>
  <si>
    <r>
      <rPr>
        <b/>
        <u/>
        <sz val="11"/>
        <rFont val="Arial"/>
      </rPr>
      <t xml:space="preserve">Mineral wool slab insulation Type A; Rockwool RWA45; as NBS P10/190A and drawings BBA-Z1-(00/01/02/03/04/05)-DR-A-2101 &amp; 2102 and BBA-Z1-ZZ-DR-A-7050, 7051, 7070 to 7079, 7426, 7650 to 7655 &amp; 7671
</t>
    </r>
    <r>
      <rPr>
        <sz val="11"/>
        <rFont val="Arial"/>
      </rPr>
      <t>25mm thick partial fill insulation between SFS studs; vertical</t>
    </r>
  </si>
  <si>
    <r>
      <rPr>
        <b/>
        <u/>
        <sz val="11"/>
        <rFont val="Arial"/>
      </rPr>
      <t xml:space="preserve">Plasterboard linings fixed to SFS studs; 1Nr layer of 15mm Siniat Aquaboard as part of Siniat Thruwall System ETW 112A; including all fixings, sealants and accessories; as NBS K11/50, Siniat Thruwall project pack and drawings BBA-Z1-(00/01/02/03/04/05)-DR-A-2101 &amp; 2102 and BBA-Z1-ZZ-DR-A-7050, 7051, 7070 to 7079, 7426, 7650 to 7655 &amp; 7671
</t>
    </r>
    <r>
      <rPr>
        <sz val="11"/>
        <rFont val="Arial"/>
      </rPr>
      <t>Walls; width exceeding 300mm</t>
    </r>
  </si>
  <si>
    <r>
      <rPr>
        <b/>
        <u/>
        <sz val="11"/>
        <rFont val="Arial"/>
      </rPr>
      <t xml:space="preserve">Plasterboard linings fixed to SFS studs; 1Nr layer of 15mm Siniat Fireboard as part of Siniat Thruwall System ETW 112F; including all fixings, sealants and accessories; as NBS K11/50, Siniat Thruwall project pack and drawings BBA-Z1-(00/01/02/03/04/05)-DR-A-2101 &amp; 2102 and BBA-Z1-ZZ-DR-A-7050, 7051, 7070 to 7079, 7426, 7650 to 7655 &amp; 7671
</t>
    </r>
    <r>
      <rPr>
        <sz val="11"/>
        <rFont val="Arial"/>
      </rPr>
      <t>Walls; width exceeding 300mm</t>
    </r>
  </si>
  <si>
    <t>Reveals; width not exceeding 300mm</t>
  </si>
  <si>
    <r>
      <rPr>
        <b/>
        <u/>
        <sz val="11"/>
        <rFont val="Arial"/>
      </rPr>
      <t xml:space="preserve">Edge Protection
</t>
    </r>
    <r>
      <rPr>
        <sz val="11"/>
        <rFont val="Arial"/>
      </rPr>
      <t>Removal of Easi Edge to facilitate curtain walling installation</t>
    </r>
  </si>
  <si>
    <t>7/1/8</t>
  </si>
  <si>
    <t>Page Total : 7/1/1</t>
  </si>
  <si>
    <t>Page Total : 7/1/2</t>
  </si>
  <si>
    <t>Page Total : 7/1/3</t>
  </si>
  <si>
    <t>Page Total : 7/1/4</t>
  </si>
  <si>
    <t>Page Total : 7/1/5</t>
  </si>
  <si>
    <t>Page Total : 7/1/6</t>
  </si>
  <si>
    <t>Page Total : 7/1/7</t>
  </si>
  <si>
    <t>Page Total : 7/1/8</t>
  </si>
  <si>
    <t>22-004I 10/03/2025 13:08:21 Page : 41</t>
  </si>
  <si>
    <t>Windows &amp; External Doors</t>
  </si>
  <si>
    <t>8</t>
  </si>
  <si>
    <r>
      <rPr>
        <b/>
        <u/>
        <sz val="11"/>
        <rFont val="Arial"/>
      </rPr>
      <t xml:space="preserve">WINDOWS AND EXTERNAL DOORS
</t>
    </r>
    <r>
      <rPr>
        <sz val="11"/>
        <rFont val="Arial"/>
      </rPr>
      <t>Note: No window boards measured - to be provided my Tenant Fitout, as indicated on drawing BBA-Z1-ZZ-DR-A-7070.
Glazed Curtain Walling
Stick curtain walling systems Type A; Senior Architectural Systems SF52 Fully Capped Curtain Wall System; large glazing units with PPC aluminium frames with metallic finish; including all head, jamb and door flashings / angles, integrated EPDM's and all system accessories, fixings and components as NBS H11/110A and including glazed in PPC aluminium louvre panel units to match curtain walling; Duco Ventilation &amp; Sun Control NV, DucoGrille Solid DGS F30Z P2 with insect mesh and additional stonewool insulation to non-active louvres; minimum 3mm PPC aluminium backing panel and projecting spigots required for MEP ductwork connections as NBS H11/140; all as drawings BBA-Z1-ZZ-SH-A-7051 &amp; 7101 and BBA-Z1-ZZ-DR-A-7070 to 7079</t>
    </r>
  </si>
  <si>
    <t>Ground Floor units; Type 1 Glazing as H11/110A (8Nr units)</t>
  </si>
  <si>
    <t>Extra over for fully glazed single swing PAS24 doorsets Type B; 1449 x 2648mm S/O; as NBS H11/135B (Type 06)</t>
  </si>
  <si>
    <t>Extra over for fully glazed double swing PAS24 doorsets Type A; 2035 x 2648mm S/O; as NBS H11/135A (Type 08)</t>
  </si>
  <si>
    <t>Pr</t>
  </si>
  <si>
    <t>Extra over for fully glazed automatic revolving PAS24 doorsets Type A; 2725 x 2648mm S/O; Boon Edam Limited or simlar; as NBS L20/495 (Type 09)</t>
  </si>
  <si>
    <t>Ground Floor units; Type 1 Glazing as H11/110A; including louvres as H11/140 (14Nr units)</t>
  </si>
  <si>
    <t>Extra over for fully glazed asymmetric PAS24 doorsets Type D to Fire Exits; 1885 x 2648mm S/O; as NBS H11/135D (Type 07)</t>
  </si>
  <si>
    <t>Extra over for fully glazed asymmetric PAS24 doorsets Type E to Lettable Units; 1885 x 2648mm S/O; as NBS H11/135E (Type 07)</t>
  </si>
  <si>
    <t>Fourth Floor units; Type 2 Glazing as H11/110A (10Nr units)</t>
  </si>
  <si>
    <t>Extra over for fully glazed double swing doorsets Type A; 2035 x 2123mm S/O; as NBS H11/135A (Type 04)</t>
  </si>
  <si>
    <t>Fourth Floor units; Type 2 Glazing as H11/110A; including louvres as H11/140 (18Nr units)</t>
  </si>
  <si>
    <t>Allow for forming / framing / boxing out etc. 800 x 300mm partially active louvres to accommodate M&amp;E requirements</t>
  </si>
  <si>
    <t>Fourth Floor units; Type 3 Spandrel Glazing as H11/110A; including louvres as H11/140 (2Nr units)</t>
  </si>
  <si>
    <t>8/1/1</t>
  </si>
  <si>
    <t>22-004I 10/03/2025 13:08:21 Page : 42</t>
  </si>
  <si>
    <r>
      <rPr>
        <b/>
        <u/>
        <sz val="11"/>
        <rFont val="Arial"/>
      </rPr>
      <t xml:space="preserve">Stick curtain walling systems Type B; Senior Architectural Systems SF52 Fully Capped Curtain Wall System; large glazing units with PPC aluminium frames with metallic finish; including all head, jamb and door flashings / angles, integrated EPDM's and all system accessories, fixings and components as NBS H11/110B and including glazed in PPC aluminium louvre panel units to match curtain walling; Duco Ventilation &amp; Sun Control NV, DucoGrille Solid DGS F30Z P2 with insect mesh and additional stonewool insulation to non-active louvres; minimum 3mm PPC aluminium backing panel and projecting spigots required for MEP ductwork connections as NBS H11/140; all as drawings BBA-Z1-ZZ-SH-A-7051 &amp; 7101 and BBA-Z1-ZZ-DR-A-7070 to 7079
</t>
    </r>
    <r>
      <rPr>
        <sz val="11"/>
        <rFont val="Arial"/>
      </rPr>
      <t>First, Second and Third Floor units; Type 2 Glazing as H11/110B (30Nr units)</t>
    </r>
  </si>
  <si>
    <t>First, Second and Third Floor units; Type 2 Glazing as H11/110B; including louvres as H11/140 (53Nr units)</t>
  </si>
  <si>
    <t>Allow for forming / framing / boxing out etc. 1800 x 300mm partially active louvres to accommodate M&amp;E requirements</t>
  </si>
  <si>
    <t>First, Second and Third Floor units; Type 3 Spandrel Glazing as H11/110B; including louvres as H11/140 (7Nr units)</t>
  </si>
  <si>
    <r>
      <rPr>
        <b/>
        <u/>
        <sz val="11"/>
        <rFont val="Arial"/>
      </rPr>
      <t xml:space="preserve">PPC Alumnium Flashings to all curtain walling units; as NBS H11/110 and drawings BBA-Z1-ZZ_DR-A-7050, 7051, 7073, 7074, 7075, 7076, 7077, 7078 &amp; 7079
</t>
    </r>
    <r>
      <rPr>
        <sz val="11"/>
        <rFont val="Arial"/>
      </rPr>
      <t>4mm PPC aluminium cill flashing (Anti-slip Texture) fixed between door threshold and Zed support plate/IKO PermaTEC; fully designed and provided by Curtain walling sub-contractor; to upper floor balcony doors as drawing 7076</t>
    </r>
  </si>
  <si>
    <t>3mm PPC aluminium cill flashing fixed between door threshold and Zed support plate; fully designed and provided by Curtain walling sub-contractor; to ground floor doors as drawing 7077</t>
  </si>
  <si>
    <t>PPC aluminium cill flashings to ground floor curtain walling units with brickwork below; as drawing 7073</t>
  </si>
  <si>
    <t>PPC aluminium cill flashings to ground floor curtain walling units with no brickwork below; as drawing 7078</t>
  </si>
  <si>
    <t>PPC aluminium cill flashings to upper floor curtain walling units with brickwork / concrete upstand below; as drawings 7073, 7077, 7078 &amp; 7079</t>
  </si>
  <si>
    <t>Extended glazed in closure flashings to heads of all curtain walling units; sealed to underside of lintel; as drawings 7070 to 7079</t>
  </si>
  <si>
    <r>
      <rPr>
        <b/>
        <u/>
        <sz val="11"/>
        <rFont val="Arial"/>
      </rPr>
      <t xml:space="preserve">Resin impregnated precompressed foam sealing strips; Illbruck Illmod TP600; as NBS H11/111 and drawings BBA-Z1-ZZ_DR-A-7050, 7051, 7073, 7074, 7075, 7076, 7077, 7078 &amp; 7079
</t>
    </r>
    <r>
      <rPr>
        <sz val="11"/>
        <rFont val="Arial"/>
      </rPr>
      <t>Sealing externally around perimeters of curtain walling frames and brickwork to form watertight airtight seal</t>
    </r>
  </si>
  <si>
    <t>8/1/2</t>
  </si>
  <si>
    <t>22-004I 10/03/2025 13:08:21 Page : 43</t>
  </si>
  <si>
    <r>
      <rPr>
        <b/>
        <u/>
        <sz val="11"/>
        <rFont val="Arial"/>
      </rPr>
      <t xml:space="preserve">Aluminium Framed Glazed Doors
Aluminium doorsets Type C; Senior Architectural Systems Fully glazed single swing doorset; glazed units with PPC aluminium frames with metallic finish; including all ironmongery, fixings and components as NBS H11/135C; all as drawings BBA-Z1-ZZ-SH-A-7051 &amp; 7101
</t>
    </r>
    <r>
      <rPr>
        <sz val="11"/>
        <rFont val="Arial"/>
      </rPr>
      <t>1210 x 2648mm S/O; PAS24 single doorset (Type 05)</t>
    </r>
  </si>
  <si>
    <r>
      <rPr>
        <b/>
        <u/>
        <sz val="11"/>
        <rFont val="Arial"/>
      </rPr>
      <t xml:space="preserve">PPC Alumnium Flashings; as NBS H11/110 and drawing BBA-Z1-ZZ_DR-A-7077
</t>
    </r>
    <r>
      <rPr>
        <sz val="11"/>
        <rFont val="Arial"/>
      </rPr>
      <t>3mm PPC aluminium cill flashing fixed between door threshold and Zed support plate; fully designed and provided by Curtain walling sub-contractor</t>
    </r>
  </si>
  <si>
    <t>Extended glazed in closure flashings to heads of all curtain walling units; sealed to underside of lintel</t>
  </si>
  <si>
    <r>
      <rPr>
        <b/>
        <u/>
        <sz val="11"/>
        <rFont val="Arial"/>
      </rPr>
      <t xml:space="preserve">Resin impregnated precompressed foam sealing strips; Illbruck Illmod TP600; as NBS H11/111
</t>
    </r>
    <r>
      <rPr>
        <sz val="11"/>
        <rFont val="Arial"/>
      </rPr>
      <t>Sealing externally around perimeters of curtain walling frames and brickwork to form watertight airtight seal</t>
    </r>
  </si>
  <si>
    <r>
      <rPr>
        <b/>
        <u/>
        <sz val="11"/>
        <rFont val="Arial"/>
      </rPr>
      <t xml:space="preserve">PPC Metal Doors and Frames
PPC Aluminium doorsets for roof access; Fully Weather-rated Thermally insulated commercial aluminium welded door suitable for severe duty; clear double glazing where required; including all ironmongery, fixings and components as NBS L20/480; all as drawing BBA-Z1-ZZ-SH-A-7101
</t>
    </r>
    <r>
      <rPr>
        <sz val="11"/>
        <rFont val="Arial"/>
      </rPr>
      <t>1135 x 2110mm S/O; single doorset with glazing panel (Type 01) EX-D04</t>
    </r>
  </si>
  <si>
    <t>1800 x 2110mm S/O; solid asymmetric doorset (Type 02) EX-D02 &amp; D03</t>
  </si>
  <si>
    <t>2035 x 2110mm S/O; double doorset with glazing panels (Type 03) EX-D01</t>
  </si>
  <si>
    <r>
      <rPr>
        <b/>
        <u/>
        <sz val="11"/>
        <rFont val="Arial"/>
      </rPr>
      <t xml:space="preserve">PPC Aluminium Flashings; all assumed
</t>
    </r>
    <r>
      <rPr>
        <sz val="11"/>
        <rFont val="Arial"/>
      </rPr>
      <t>PPC Aluminium flashings to door heads and jambs to suit wall cladding</t>
    </r>
  </si>
  <si>
    <t>PPC Aluminium cill flashings to door thresholds</t>
  </si>
  <si>
    <t>8/1/3</t>
  </si>
  <si>
    <t>22-004I 10/03/2025 13:08:21 Page : 44</t>
  </si>
  <si>
    <r>
      <rPr>
        <b/>
        <u/>
        <sz val="11"/>
        <rFont val="Arial"/>
      </rPr>
      <t xml:space="preserve">PPC External steel louvred security doorsets within Louvre system wall; Sunray Engineering ExcluWall integrated ExcluLouvreDoor; PPC aluminium with metallic finish to match curtain walling; system to achieve either PAS24: 2019 or LPS 1175 SR2; including all ironmongery, fixings and components as NBS L20/480; all as drawing BBA-Z1-ZZ-SH-A-7101
</t>
    </r>
    <r>
      <rPr>
        <sz val="11"/>
        <rFont val="Arial"/>
      </rPr>
      <t>Overall 2882.5 x 4050mm louvred wall unit with approx. 1800 x 2610mm double louvred doorset (Type 10)</t>
    </r>
  </si>
  <si>
    <t>Sets</t>
  </si>
  <si>
    <r>
      <rPr>
        <b/>
        <u/>
        <sz val="11"/>
        <rFont val="Arial"/>
      </rPr>
      <t xml:space="preserve">PPC Aluminium Flashings to louvred wall system; assume same details as curtain walling
</t>
    </r>
    <r>
      <rPr>
        <sz val="11"/>
        <rFont val="Arial"/>
      </rPr>
      <t>3mm PPC aluminium cill flashing fixed between door threshold and Zed support plate; as drawing BBA-Z1-ZZ-DR-A-7077</t>
    </r>
  </si>
  <si>
    <t>Extended glazed in closure flashings to heads of louvre units; sealed to underside of lintel; as drawings 7070 to 7079</t>
  </si>
  <si>
    <r>
      <rPr>
        <b/>
        <u/>
        <sz val="11"/>
        <rFont val="Arial"/>
      </rPr>
      <t xml:space="preserve">Resin impregnated precompressed foam sealing strips; Illbruck Illmod TP600; as NBS H11/111 and drawings BBA-Z1-ZZ_DR-A-7050, 7051, 7073, 7074, 7075, 7076, 7077, 7078 &amp; 7079; assume same details as curtain walling
</t>
    </r>
    <r>
      <rPr>
        <sz val="11"/>
        <rFont val="Arial"/>
      </rPr>
      <t>Sealing externally around perimeters of louvre walling frames and brickwork to form watertight airtight seal</t>
    </r>
  </si>
  <si>
    <r>
      <rPr>
        <b/>
        <u/>
        <sz val="11"/>
        <rFont val="Arial"/>
      </rPr>
      <t xml:space="preserve">Sealants
Silicone Sealant
</t>
    </r>
    <r>
      <rPr>
        <sz val="11"/>
        <rFont val="Arial"/>
      </rPr>
      <t>Seal around curtain walling frames internally; if required (Note: External airseal measured with curtain walling as H11/111)</t>
    </r>
  </si>
  <si>
    <t>Seal around louvre walling frames internally; if required (Note: External airseal measured with louvre as H11/111)</t>
  </si>
  <si>
    <t>Seal around roof access door frames internally and externally</t>
  </si>
  <si>
    <r>
      <rPr>
        <b/>
        <u/>
        <sz val="11"/>
        <rFont val="Arial"/>
      </rPr>
      <t xml:space="preserve">Additional Items
</t>
    </r>
    <r>
      <rPr>
        <sz val="11"/>
        <rFont val="Arial"/>
      </rPr>
      <t>Manifestation allowance (Details tbc)</t>
    </r>
  </si>
  <si>
    <t>Heat soak test</t>
  </si>
  <si>
    <t>CWCT Test</t>
  </si>
  <si>
    <t>Individual banding of DGUs</t>
  </si>
  <si>
    <t>Glass protection - Internal</t>
  </si>
  <si>
    <t>Glass protection - External</t>
  </si>
  <si>
    <t>Glass protection - Removal</t>
  </si>
  <si>
    <t>Removal of easi edge on completion of works</t>
  </si>
  <si>
    <t>EPDM's</t>
  </si>
  <si>
    <t>Head flashings</t>
  </si>
  <si>
    <t>Base flashings</t>
  </si>
  <si>
    <t>8/1/4</t>
  </si>
  <si>
    <t>Page Total : 8/1/1</t>
  </si>
  <si>
    <t>Page Total : 8/1/2</t>
  </si>
  <si>
    <t>Page Total : 8/1/3</t>
  </si>
  <si>
    <t>Page Total : 8/1/4</t>
  </si>
  <si>
    <t>22-004I 10/03/2025 13:08:21 Page : 46</t>
  </si>
  <si>
    <t>Internal Walls</t>
  </si>
  <si>
    <t>9</t>
  </si>
  <si>
    <r>
      <rPr>
        <b/>
        <u/>
        <sz val="11"/>
        <rFont val="Arial"/>
      </rPr>
      <t xml:space="preserve">DONCASTER GATEWAY 1
INTERNAL WALLS, COLUMN AND BEAM ENCASEMENTS
Precast Concrete Lift Shafts to Specialist Design
</t>
    </r>
    <r>
      <rPr>
        <sz val="11"/>
        <rFont val="Arial"/>
      </rPr>
      <t>Specialist design</t>
    </r>
  </si>
  <si>
    <t>Precast concrete lift shaft; 200mm thick walls; overall size approx. 3800mm x 2355mm x 27,560mm high; see drawing number DGW1-BBA-Z1-ZZ-DR-A-7620 P01 for more details</t>
  </si>
  <si>
    <t>Precast concrete lift shaft; 200mm thick walls; overall size approx. 3800mm x 2355mm x 21,900mm high; see drawing number DGW1-BBA-Z1-ZZ-DR-A-7620 P01 for more details</t>
  </si>
  <si>
    <t>Precast concrete lift shaft capping; 200mm thick; overall size approx. 2000mm x 235mm (assume required)</t>
  </si>
  <si>
    <t>Cement additive</t>
  </si>
  <si>
    <t>RIW coating</t>
  </si>
  <si>
    <t>Grouting &amp; expending foam</t>
  </si>
  <si>
    <t>Dust sealer to lift shafts</t>
  </si>
  <si>
    <t>9/1/1</t>
  </si>
  <si>
    <t>22-004I 10/03/2025 13:08:21 Page : 47</t>
  </si>
  <si>
    <r>
      <rPr>
        <b/>
        <u/>
        <sz val="11"/>
        <rFont val="Arial"/>
      </rPr>
      <t xml:space="preserve">K10 Gypsum board dry linings/ partitions/ ceilings
K10/125A Internal Partition Systems Type 1; See Siniat Project Pack for full details; Siniat Twin Frame Partition Twin(AB)-CS70R-212dB-25G
Metal stud partitions; Type 01
</t>
    </r>
    <r>
      <rPr>
        <sz val="11"/>
        <rFont val="Arial"/>
      </rPr>
      <t>height 3600-3900mm; 425mm overall thickness; boarded both sides</t>
    </r>
  </si>
  <si>
    <t>height 4200-4500mm; 425mm overall thickness; boarded both sides</t>
  </si>
  <si>
    <t>height 4500-4800mm; 425mm overall thickness; boarded both sides</t>
  </si>
  <si>
    <r>
      <rPr>
        <b/>
        <u/>
        <sz val="11"/>
        <rFont val="Arial"/>
      </rPr>
      <t xml:space="preserve">Accessories
</t>
    </r>
    <r>
      <rPr>
        <sz val="11"/>
        <rFont val="Arial"/>
      </rPr>
      <t>abutments; 100mm thick partition</t>
    </r>
  </si>
  <si>
    <t>tee junctions to partitions</t>
  </si>
  <si>
    <t>angles to partitions</t>
  </si>
  <si>
    <t>form openings for single doors</t>
  </si>
  <si>
    <t>form openings for double doors</t>
  </si>
  <si>
    <t>extra over for base detail; no details</t>
  </si>
  <si>
    <t>extra over for deflection head detail; to underside of metal deck/concrete soffit; See Siniat Promat detail for Encasement Type 03 (Promat); 1nr layer 15mm thick Promatex-XW mineral wool insulation; See Wilmott Dixon mark ups for details and locations</t>
  </si>
  <si>
    <t>9/1/2</t>
  </si>
  <si>
    <t>22-004I 10/03/2025 13:08:21 Page : 48</t>
  </si>
  <si>
    <r>
      <rPr>
        <b/>
        <u/>
        <sz val="11"/>
        <rFont val="Arial"/>
      </rPr>
      <t xml:space="preserve">K10/125B Internal Partition Systems Type 2; See Siniat Project Pack for full details; Siniat Single Frame Metal Stud Partition CS90R-212St
Metal stud partitions; Type 02
</t>
    </r>
    <r>
      <rPr>
        <sz val="11"/>
        <rFont val="Arial"/>
      </rPr>
      <t>height 4500-4800mm; 150mm overall thickness; boarded both sides</t>
    </r>
  </si>
  <si>
    <r>
      <rPr>
        <b/>
        <u/>
        <sz val="11"/>
        <rFont val="Arial"/>
      </rPr>
      <t xml:space="preserve">Accessories
</t>
    </r>
    <r>
      <rPr>
        <sz val="11"/>
        <rFont val="Arial"/>
      </rPr>
      <t>abutments; 150mm thick partition</t>
    </r>
  </si>
  <si>
    <t>crosses to partitions</t>
  </si>
  <si>
    <t>form openings for leaf and a half doors</t>
  </si>
  <si>
    <t>extra over for deflection head detail; to underside of metal deck/concrete soffit; 1nr layer 15mm thick GTEC Fire Board; Refer to Siniat Encasement Type 02A in Siniat Project Pack page 103 (allow 25mm deflection); See Wilmott Dixon mark ups for details and locations</t>
  </si>
  <si>
    <t>extra over for deflection head detail; to underside of metal deck/concrete soffit; Offset encasement type; 1nr layer 15mm thick GTEC Fire Board; Refer to Siniat Encasement Type 02B in Siniat Project Pack page 102 (allow 25mm deflection); See Wilmott Dixon mark ups for details and locations</t>
  </si>
  <si>
    <t>extra over for deflection head detail; perpendicular to underside of metal deck/concrete soffit; (allow 25mm deflection); insulation; See Siniat Project Pack and Wilmott Dixon mark ups for details and locations</t>
  </si>
  <si>
    <t>extra over for deflection head detail; parallel to underside of metal deck/concrete soffit; 1nr layer 15mm thick GTEC Fire Board; (allow 25mm deflection); profile filler; See Siniat Project Pack and Wilmott Dixon mark ups for details and locations</t>
  </si>
  <si>
    <t>9/1/3</t>
  </si>
  <si>
    <t>22-004I 10/03/2025 13:08:21 Page : 49</t>
  </si>
  <si>
    <r>
      <rPr>
        <b/>
        <u/>
        <sz val="11"/>
        <rFont val="Arial"/>
      </rPr>
      <t xml:space="preserve">K10/125C Internal Partition Systems Type 3; See Siniat Project Pack for full details; Siniat Single Frame Metal Stud Partition CS90R-15Un-25G
</t>
    </r>
    <r>
      <rPr>
        <sz val="11"/>
        <rFont val="Arial"/>
      </rPr>
      <t>height 3600-3900mm; 120mm overall thickness; boarded both sides</t>
    </r>
  </si>
  <si>
    <t>height 4200-4500mm; 120mm overall thickness; boarded both sides</t>
  </si>
  <si>
    <t>extra over for deflection head detail; perpendicular to underside of purlins; (allow 25mm deflection); insulation; See Siniat Project Pack and Wilmott Dixon mark ups for details and locations</t>
  </si>
  <si>
    <t>9/1/4</t>
  </si>
  <si>
    <t>22-004I 10/03/2025 13:08:21 Page : 50</t>
  </si>
  <si>
    <r>
      <rPr>
        <b/>
        <u/>
        <sz val="11"/>
        <rFont val="Arial"/>
      </rPr>
      <t xml:space="preserve">K10/125D Internal Partition Systems Type 4; See Siniat Project Pack for full details; Siniat Single Frame Metal Stud Partition CS90R-215St-50G
Metal stud partitions
</t>
    </r>
    <r>
      <rPr>
        <sz val="11"/>
        <rFont val="Arial"/>
      </rPr>
      <t>height 4500-4800mm; 150mm overall thickness; boarded both sides</t>
    </r>
  </si>
  <si>
    <r>
      <rPr>
        <b/>
        <u/>
        <sz val="11"/>
        <rFont val="Arial"/>
      </rPr>
      <t xml:space="preserve">Accessories
</t>
    </r>
    <r>
      <rPr>
        <sz val="11"/>
        <rFont val="Arial"/>
      </rPr>
      <t>abutments; 130mm thick partition</t>
    </r>
  </si>
  <si>
    <t>extra over for deflection head detail; to underside of metal deck/concrete soffit; 1nr layer 15mm thick GTEC Fire Board; Refer to Siniat Encasement Type 02A in Siniat Project Pack page 103 (allow 25mm deflection) ; See Wilmott Dixon mark ups for details and locations</t>
  </si>
  <si>
    <r>
      <rPr>
        <b/>
        <u/>
        <sz val="11"/>
        <rFont val="Arial"/>
      </rPr>
      <t xml:space="preserve">K10/125E Internal Partition Systems Type 5; See Siniat Project Pack for full details; Siniat Single Frame Metal Stud Partition CS70Y-15FMR15F-25G
Metal stud partitions
</t>
    </r>
    <r>
      <rPr>
        <sz val="11"/>
        <rFont val="Arial"/>
      </rPr>
      <t>height 4500-4800mm; 130mm overall thickness; boarded both sides</t>
    </r>
  </si>
  <si>
    <t>fair ends to partitions</t>
  </si>
  <si>
    <t>9/1/5</t>
  </si>
  <si>
    <t>22-004I 10/03/2025 13:08:21 Page : 51</t>
  </si>
  <si>
    <r>
      <rPr>
        <b/>
        <u/>
        <sz val="11"/>
        <rFont val="Arial"/>
      </rPr>
      <t xml:space="preserve">K10/125J; Gypsum board partition systems Type 10; (Shaftwall); Siniat reference CH60B-212F#19FC
Metal stud partitions
</t>
    </r>
    <r>
      <rPr>
        <sz val="11"/>
        <rFont val="Arial"/>
      </rPr>
      <t>height 3600-3900mm; 85mm overall thickness; boarded one side</t>
    </r>
  </si>
  <si>
    <t>height 4500-4800mm; 85mm overall thickness; boarded both sides</t>
  </si>
  <si>
    <r>
      <rPr>
        <b/>
        <u/>
        <sz val="11"/>
        <rFont val="Arial"/>
      </rPr>
      <t xml:space="preserve">Accessories
</t>
    </r>
    <r>
      <rPr>
        <sz val="11"/>
        <rFont val="Arial"/>
      </rPr>
      <t>abutments; 85mm thick partition</t>
    </r>
  </si>
  <si>
    <r>
      <rPr>
        <b/>
        <u/>
        <sz val="11"/>
        <rFont val="Arial"/>
      </rPr>
      <t xml:space="preserve">K10/125E Gypsum board partition systems Type 12; See Siniat Project Pack for full details; Siniat single frame partition CS14R-15Aq15St-25G
Metal stud partitions
</t>
    </r>
    <r>
      <rPr>
        <sz val="11"/>
        <rFont val="Arial"/>
      </rPr>
      <t>176mm thick; to Showers; 4500-4800mm high</t>
    </r>
  </si>
  <si>
    <r>
      <rPr>
        <b/>
        <u/>
        <sz val="11"/>
        <rFont val="Arial"/>
      </rPr>
      <t xml:space="preserve">Accessories
</t>
    </r>
    <r>
      <rPr>
        <sz val="11"/>
        <rFont val="Arial"/>
      </rPr>
      <t>abutments; 176mm thick wall lining</t>
    </r>
  </si>
  <si>
    <t>angles to wall linings</t>
  </si>
  <si>
    <t>9/1/6</t>
  </si>
  <si>
    <t>22-004I 10/03/2025 13:08:21 Page : 52</t>
  </si>
  <si>
    <r>
      <rPr>
        <b/>
        <u/>
        <sz val="11"/>
        <rFont val="Arial"/>
      </rPr>
      <t xml:space="preserve">External walls between Main Accommodation and LV Switch/Binstore; Eext Building Performance Ltd ref. ETW 134F; See pages 10-11 of Siniat 'Thruwall Project Pack'
Nb; The above Siniat spec is different to the Architect K11/50 spec which asks for 1x 15mm Aquaboard, 2x 12.5mm weather defence board, 1x 15mm Siniat dB board and 1x 15mm Siniat Fireboard
</t>
    </r>
    <r>
      <rPr>
        <sz val="11"/>
        <rFont val="Arial"/>
      </rPr>
      <t>Specialist design</t>
    </r>
  </si>
  <si>
    <t>Non-loadbearing SFS system - Thruwall; 150mm wide; height 4500-4800mm</t>
  </si>
  <si>
    <r>
      <rPr>
        <b/>
        <u/>
        <sz val="11"/>
        <rFont val="Arial"/>
      </rPr>
      <t xml:space="preserve">Accessories
</t>
    </r>
    <r>
      <rPr>
        <sz val="11"/>
        <rFont val="Arial"/>
      </rPr>
      <t>abutments; 205mm thick partition</t>
    </r>
  </si>
  <si>
    <t>9/1/7</t>
  </si>
  <si>
    <t>22-004I 10/03/2025 13:08:21 Page : 53</t>
  </si>
  <si>
    <r>
      <rPr>
        <b/>
        <u/>
        <sz val="11"/>
        <rFont val="Arial"/>
      </rPr>
      <t xml:space="preserve">K11 Rigid sheet flooring/ sheathing/ decking/ sarking/ linings/ casings
Encasement Type 01 (Siniat) 1nr layer 12.5mm GTEC Fire Board
</t>
    </r>
    <r>
      <rPr>
        <sz val="11"/>
        <rFont val="Arial"/>
      </rPr>
      <t>Column encasements; Type 01; girth 1200-1800mm; 4 sided</t>
    </r>
  </si>
  <si>
    <r>
      <rPr>
        <b/>
        <u/>
        <sz val="11"/>
        <rFont val="Arial"/>
      </rPr>
      <t xml:space="preserve">Encasement Type 03 (Promat) Promat 15mm PROMATECT-XW direct fix to column 60/60mins. Additional layer required to internal face of external wall linings . Siniat metal angles MFC2550 / FS90W flat straps. Glass Mineral wool to cavity 10-30Kg/m3 to maintain thermal/acoustic performance to cavity. See NBS Clause K11/885
</t>
    </r>
    <r>
      <rPr>
        <sz val="11"/>
        <rFont val="Arial"/>
      </rPr>
      <t>Assume vertical Z bars to corner columns by SFS SC; Also cold rolled angles have been omitted; See drawing numbers DGW1 BBA Z1 ZZ DR A 7650 P04 &amp; DGW1 BBA Z1 ZZ DR A 7651 P04</t>
    </r>
  </si>
  <si>
    <t>Column encasements; Type 03; girth 600-1200mm; 4 sided</t>
  </si>
  <si>
    <t>Column encasements; Type 03; girth 1200-1800mm; 4 sided</t>
  </si>
  <si>
    <t>Additional layer required to internal face; not exceeding 600mm girth; 2 sided; see drawing number DGW1 BBA Z1 ZZ DR A 7650 P04</t>
  </si>
  <si>
    <t>Additional layer required to internal face; 600-1200mm girth; 3 sided; see drawing number DGW1 BBA Z1 ZZ DR A 7050 P04</t>
  </si>
  <si>
    <t>Additional layer of 12.5mm Siniat Weather Defence board formed locally to back of Promatect, fully bedded on intumescent mastic NBS F30/190; to rear of columns; not exceeding 600mm; See drawing number DGW1 BBA Z1 ZZ DR A 7050 P04</t>
  </si>
  <si>
    <r>
      <rPr>
        <b/>
        <u/>
        <sz val="11"/>
        <rFont val="Arial"/>
      </rPr>
      <t xml:space="preserve">Encasement Type 04 (Siniat) 1nr layer 15mm Standard Board
</t>
    </r>
    <r>
      <rPr>
        <sz val="11"/>
        <rFont val="Arial"/>
      </rPr>
      <t>Column encasements; Type 04; girth not exceeding 600mm; 2 sided; including all necessary accessories</t>
    </r>
  </si>
  <si>
    <t>Column encasements; Type 04; girth 600-1200mm; 2 sided; including all necessary accessories</t>
  </si>
  <si>
    <t>Column encasements; Type 04; girth 600-1200mm; 3 sided; including all necessary accessories</t>
  </si>
  <si>
    <r>
      <rPr>
        <b/>
        <u/>
        <sz val="11"/>
        <rFont val="Arial"/>
      </rPr>
      <t xml:space="preserve">Column Encasement Type 05 (Promat) Promat 20mm PROMAT Vermiculux-S direct fix to column 60/60mins. Additional layer required to internal face of external wall linings. Siniat metal angles MFC2550 / FS90W flat straps. Glass Mineral wool to cavity 10-30Kg/m3 to maintain thermal/acoustic performance to cavity.
</t>
    </r>
    <r>
      <rPr>
        <sz val="11"/>
        <rFont val="Arial"/>
      </rPr>
      <t>Column encasements; Type 05; girth 1200-1800mm; 4 sided</t>
    </r>
  </si>
  <si>
    <r>
      <rPr>
        <b/>
        <u/>
        <sz val="11"/>
        <rFont val="Arial"/>
      </rPr>
      <t xml:space="preserve">Encasement Type 02A (Siniat) 1nr layer 15mm GTEC Fire Board
</t>
    </r>
    <r>
      <rPr>
        <sz val="11"/>
        <rFont val="Arial"/>
      </rPr>
      <t>Beam encasements; girth 600-1200mm; 3 sided (internal beams); including all necessary accessories</t>
    </r>
  </si>
  <si>
    <t>Beam encasements; girth 1200-1800mm; 3 sided (internal beams); including all necessary accessories</t>
  </si>
  <si>
    <r>
      <rPr>
        <b/>
        <u/>
        <sz val="11"/>
        <rFont val="Arial"/>
      </rPr>
      <t xml:space="preserve">Encasement Type 02B (Siniat) 1nr layer 15mm GTEC Fire Board; Offset Encasement Type
</t>
    </r>
    <r>
      <rPr>
        <sz val="11"/>
        <rFont val="Arial"/>
      </rPr>
      <t>Beam encasements; girth 600-1200mm; 3 sided (internal beams); including all necessary accessories</t>
    </r>
  </si>
  <si>
    <t>Beam encasements; girth 600-1200mm; 3 sided (internal beams); including all necessary accessories</t>
  </si>
  <si>
    <r>
      <rPr>
        <b/>
        <u/>
        <sz val="11"/>
        <rFont val="Arial"/>
      </rPr>
      <t xml:space="preserve">Encasement Type 06 (Promat) Grid 5 Promat 25mm PROMAT Vermiculux-S direct fix to beam 60/60mins. 20x120 VS Cover strips, Siniat metal angles MFC2550, Glass Mineral wool to cavity 10-30Kg/m3 to acoustic performance to cavity.To be formed and fully sealed to Fire rated column boxings (Promat PROMATECT-XW). Installed in Accordance with Promat Technical guidance
</t>
    </r>
    <r>
      <rPr>
        <sz val="11"/>
        <rFont val="Arial"/>
      </rPr>
      <t>Beam encasements; girth 600-1200mm; 3 sided (internal beams); including all necessary accessories</t>
    </r>
  </si>
  <si>
    <r>
      <rPr>
        <b/>
        <u/>
        <sz val="11"/>
        <rFont val="Arial"/>
      </rPr>
      <t xml:space="preserve">Beam Encasement Type 07 (Promat) - Coatbacks 500mm Min COATBACK (To Soild Flange) Fire rated BEAM boxing Promat 25mm PROMAT Vermiculux-S direct fix to beam 60/60mins. 20x120 VS Cover strips, Siniat metal angles MFC2550, PromaSEAL intumescent Acrylic sealant between scribed capping boards and steelwork. To be formed and fully sealed to Fire rated column boxings (Promat 15mm PROMATECT-XW). Installed in Accordance with Promat Technical guidance ST VLUX 143 sheets 1 and 2. See NBS Clause K11/890
</t>
    </r>
    <r>
      <rPr>
        <sz val="11"/>
        <rFont val="Arial"/>
      </rPr>
      <t>Beam encasements; girth 600-1200mm; 3 sided (internal beams); including all necessary accessories</t>
    </r>
  </si>
  <si>
    <r>
      <rPr>
        <b/>
        <u/>
        <sz val="11"/>
        <rFont val="Arial"/>
      </rPr>
      <t xml:space="preserve">Beam Encasement Type 08 (Siniat) - Perimeter 60/60 Inside to outside MF bulkhead/ceiling (EI60) support system with 2no Siniat 15mm FireBoards, Siniat UTX92/B U track, Siniat CS90/Rx C-studs @ 600 c/c, Threaded rod, flat plate, nuts (Siniat detail for BH over 600mm), 100mm Glass mineral wool insulation, Siniat 25x50 closure angle, Siniat intumescent acoustic sealant to ALL interfaces. See NBS Clause K10/215A
</t>
    </r>
    <r>
      <rPr>
        <sz val="11"/>
        <rFont val="Arial"/>
      </rPr>
      <t>Beam encasements; girth 600-1200mm; 2 sided (perimeter beams); including all necessary accessories; See drawing number DGW1 BBA Z1 ZZ DR A 7670 P05 (See separate item/ measure for insulation)</t>
    </r>
  </si>
  <si>
    <t>VCL between plasterboard; 1200-1800mm girth; as P10/310B</t>
  </si>
  <si>
    <t>15mm Siniat Fire board; to soffit; not exceeding 300mm wide</t>
  </si>
  <si>
    <t>Siderise TW-P Fire stops for profiles deck; See drawing numbers DGW1 BBA Z1 ZZ DR A 7420 P05 &amp; DGW1 BBA Z1 ZZ DR A 7670 P05</t>
  </si>
  <si>
    <r>
      <rPr>
        <b/>
        <u/>
        <sz val="11"/>
        <rFont val="Arial"/>
      </rPr>
      <t xml:space="preserve">Encasements/MF Bulkheads to perimeter beams; 12.5mm standard boards as K10/215
</t>
    </r>
    <r>
      <rPr>
        <sz val="11"/>
        <rFont val="Arial"/>
      </rPr>
      <t>230mm wide x 700mm high; including all necessary framing/support</t>
    </r>
  </si>
  <si>
    <r>
      <rPr>
        <b/>
        <u/>
        <sz val="11"/>
        <rFont val="Arial"/>
      </rPr>
      <t xml:space="preserve">Skim
</t>
    </r>
    <r>
      <rPr>
        <sz val="11"/>
        <rFont val="Arial"/>
      </rPr>
      <t>2mm thick skim to column encasements</t>
    </r>
  </si>
  <si>
    <t>2mm thick skim to beam encasements</t>
  </si>
  <si>
    <t>2mm thick skim to beam encasements/bulkheads; to perimeters</t>
  </si>
  <si>
    <t>9/1/8</t>
  </si>
  <si>
    <t>22-004I 10/03/2025 13:08:21 Page : 54</t>
  </si>
  <si>
    <r>
      <rPr>
        <b/>
        <u/>
        <sz val="11"/>
        <rFont val="Arial"/>
      </rPr>
      <t xml:space="preserve">Insulation
</t>
    </r>
    <r>
      <rPr>
        <sz val="11"/>
        <rFont val="Arial"/>
      </rPr>
      <t>25mm thick Rockwool RWA45 slabs to cavity; to heads of reveals; not exceeding 300mm; See drawing number DGW1 BBA Z1 ZZ DR A 7420 P05</t>
    </r>
  </si>
  <si>
    <t>25mm thick Rockwool RWA45 slabs to cavity; to vertical reveals; not exceeding 300mm; See drawing number DGW1 BBA Z1 ZZ DR A 7050 P04</t>
  </si>
  <si>
    <t>25mm thick Rockwool RWA45 slabs to cavity; to vertical columns; not exceeding 300mm; See drawing number DGW1 BBA Z1 ZZ DR A 7050 P04</t>
  </si>
  <si>
    <t>Glass mineral wool x2 to cavity 10-30kg/m3 to maintain thermal/acoustic performance to cavity (to both webs of columns); approx 150mm thick; not exceeding 300mm; See drawing number DGW1 BBA Z1 ZZ DR A 7050 P04</t>
  </si>
  <si>
    <t>Glass mineral wool x2 to cavity 10-30kg/m3 to maintain thermal/acoustic performance to cavity (to both webs of beams); approx 150mm thick; not exceeding 300mm; See drawing number DGW1 BBA Z1 ZZ DR A 7050 P04</t>
  </si>
  <si>
    <t>Glass mineral wool; 100mm thick; vertical 600-1200mm; to perimeter beams; See drawing number DGW1 BBA Z1 ZZ DR A 7070 P05</t>
  </si>
  <si>
    <t>Glass mineral wool; 100mm thick; horizontal not exceeding 300mm; to perimeter beams; See drawing number DGW1 BBA Z1 ZZ DR A 7070 P05</t>
  </si>
  <si>
    <t>9/1/9</t>
  </si>
  <si>
    <t>22-004I 10/03/2025 13:08:21 Page : 55</t>
  </si>
  <si>
    <r>
      <rPr>
        <b/>
        <u/>
        <sz val="11"/>
        <rFont val="Arial"/>
      </rPr>
      <t xml:space="preserve">Carpentry/ timber framing/ first fixing
NON-STRUCTURAL PLYWOOD FOR PATTRESSES IN INTERNAL WALLS TO SUPPORT FIXTURES AND FITTINGS
</t>
    </r>
    <r>
      <rPr>
        <sz val="11"/>
        <rFont val="Arial"/>
      </rPr>
      <t>18mm plywood pattresses; in partitions</t>
    </r>
  </si>
  <si>
    <t>Allow for plywood boxings with softwood framing; to S&amp;VP's</t>
  </si>
  <si>
    <r>
      <rPr>
        <b/>
        <u/>
        <sz val="11"/>
        <rFont val="Arial"/>
      </rPr>
      <t xml:space="preserve">BWIC with metal stud partitions
</t>
    </r>
    <r>
      <rPr>
        <sz val="11"/>
        <rFont val="Arial"/>
      </rPr>
      <t>Allow for putty pads</t>
    </r>
  </si>
  <si>
    <t>Allow for cutting out for sockets and switches</t>
  </si>
  <si>
    <t>Cut out for ducts; 100mm diameter (200x200mm opening)</t>
  </si>
  <si>
    <t>Cut out for ducts; 150mm diameter (250x250mm opening)</t>
  </si>
  <si>
    <t>Cut out for ducts; 250mm diameter (350x350mm opening)</t>
  </si>
  <si>
    <t>Cut out for ducts; 250x150mm (350x250mm opening)</t>
  </si>
  <si>
    <t>Cut out for grilles; 200x200mm</t>
  </si>
  <si>
    <t>Cut out for trays; 400x200mm</t>
  </si>
  <si>
    <t>Cut out for traywork &amp; heating pipes; 800x200mm</t>
  </si>
  <si>
    <t>fire stopping to holes through partitions</t>
  </si>
  <si>
    <t>Acoustic/intumescent sealant to top of partitions</t>
  </si>
  <si>
    <t>Acoustic/intumescent sealant to bottom of partitions</t>
  </si>
  <si>
    <t>Acoustic/intumescent sealant to 2 and 3 sided column encasements</t>
  </si>
  <si>
    <t>Acoustic/intumescent sealant to 3 sided beam encasements</t>
  </si>
  <si>
    <t>9/1/10</t>
  </si>
  <si>
    <t>Page Total : 9/1/1</t>
  </si>
  <si>
    <t>Page Total : 9/1/2</t>
  </si>
  <si>
    <t>Page Total : 9/1/3</t>
  </si>
  <si>
    <t>Page Total : 9/1/4</t>
  </si>
  <si>
    <t>Page Total : 9/1/5</t>
  </si>
  <si>
    <t>Page Total : 9/1/6</t>
  </si>
  <si>
    <t>Page Total : 9/1/7</t>
  </si>
  <si>
    <t>Page Total : 9/1/8</t>
  </si>
  <si>
    <t>Page Total : 9/1/9</t>
  </si>
  <si>
    <t>Page Total : 9/1/10</t>
  </si>
  <si>
    <t>22-004I 10/03/2025 13:08:21 Page : 57</t>
  </si>
  <si>
    <t>Internal Doors</t>
  </si>
  <si>
    <t>10</t>
  </si>
  <si>
    <r>
      <rPr>
        <b/>
        <u/>
        <sz val="11"/>
        <rFont val="Arial"/>
      </rPr>
      <t xml:space="preserve">INTERNAL DOORS AND SCREENS
L WINDOWS/DOORS/STAIRS
L20 Doors/ shutters/ hatches
Refer to Architect drawing numbers:-
DGW1-BBA-Z1-ZZ-SH-A-7105 P03
DGW1-BBA-Z1-ZZ-SH-A-7121 P05
DGW1-BBA-Z1-ZZ-DR-A-7101 P02
Site dimensions; See NBS clause L20/150
</t>
    </r>
    <r>
      <rPr>
        <sz val="11"/>
        <rFont val="Arial"/>
      </rPr>
      <t>Site measurement</t>
    </r>
  </si>
  <si>
    <r>
      <rPr>
        <b/>
        <u/>
        <sz val="11"/>
        <rFont val="Arial"/>
      </rPr>
      <t xml:space="preserve">Control samples; See NBS clause L20/170
</t>
    </r>
    <r>
      <rPr>
        <sz val="11"/>
        <rFont val="Arial"/>
      </rPr>
      <t>Provide samples as requested</t>
    </r>
  </si>
  <si>
    <r>
      <rPr>
        <b/>
        <u/>
        <sz val="11"/>
        <rFont val="Arial"/>
      </rPr>
      <t xml:space="preserve">Products
Wood doorsets Type A; See NBS clause L20/430
Internal single door
</t>
    </r>
    <r>
      <rPr>
        <sz val="11"/>
        <rFont val="Arial"/>
      </rPr>
      <t>Internal door type 01: doorset including hinges and softwood frame (factory primed), severe duty door leaf; laminated finish; 1010mm x 2100mm structural opening; 30dB Rw acoustic rating; no fire rating</t>
    </r>
  </si>
  <si>
    <r>
      <rPr>
        <b/>
        <u/>
        <sz val="11"/>
        <rFont val="Arial"/>
      </rPr>
      <t xml:space="preserve">Wood doorsets Type B; See NBS clause L20/430
Internal single door
</t>
    </r>
    <r>
      <rPr>
        <sz val="11"/>
        <rFont val="Arial"/>
      </rPr>
      <t>Internal door type 01: doorset including hinges and softwood frame (factory primed), severe duty door leaf; laminated finish; 1010mm x 2100mm structural opening; 35dB Rw acoustic rating; no fire rating</t>
    </r>
  </si>
  <si>
    <t>Internal door type 02: doorset including hinges and softwood frame (factory primed), severe duty door leaf; laminated finish; 1010mm x 2100mm structural opening; 35dB Rw acoustic rating; no fire rating; vision panel</t>
  </si>
  <si>
    <r>
      <rPr>
        <b/>
        <u/>
        <sz val="11"/>
        <rFont val="Arial"/>
      </rPr>
      <t xml:space="preserve">Wood doorsets Type C; See NBS clause L20/430
Internal single door
</t>
    </r>
    <r>
      <rPr>
        <sz val="11"/>
        <rFont val="Arial"/>
      </rPr>
      <t>Internal door type 01: doorset including hinges and softwood frame (factory primed), severe duty door leaf; laminated finish; 1010mm x 2100mm structural opening; 30dB Rw acoustic rating; 30 minutes fire rating; smoke seal</t>
    </r>
  </si>
  <si>
    <t>Internal door type 03: doorset including hinges and softwood frame (factory primed), severe duty door leaf; laminated finish; 1010mm x 2100mm structural opening; no acoustic rating; 30 minutes fire rating; smoke seal; large vision panel</t>
  </si>
  <si>
    <t>Extra over for extension piece to suit wider door frame; to suit 425mm thick metal stud partition wall</t>
  </si>
  <si>
    <t>Internal door type 04: doorset including hinges and softwood frame (factory primed), severe duty door leaf; laminated finish; 810mm x 2100mm structural opening; no acoustic rating; 30 minutes fire rating; smoke seal</t>
  </si>
  <si>
    <t>Internal door type 05: doorset including hinges and softwood frame (factory primed), severe duty door leaf; laminated finish; 910mm x 2100mm structural opening; no acoustic rating; 30 minutes fire rating; smoke seal</t>
  </si>
  <si>
    <r>
      <rPr>
        <b/>
        <u/>
        <sz val="11"/>
        <rFont val="Arial"/>
      </rPr>
      <t xml:space="preserve">Internal leaf and a half doors
</t>
    </r>
    <r>
      <rPr>
        <sz val="11"/>
        <rFont val="Arial"/>
      </rPr>
      <t>Internal door type 06: doorset including hinges and softwood frame (factory primed), severe duty door leaves; laminated finish; 1650mm x 2100mm structural opening; no acoustic rating; 30 minutes fire rating; smoke seal</t>
    </r>
  </si>
  <si>
    <r>
      <rPr>
        <b/>
        <u/>
        <sz val="11"/>
        <rFont val="Arial"/>
      </rPr>
      <t xml:space="preserve">Internal leaf and a half doors; with vision panels to both leaves
</t>
    </r>
    <r>
      <rPr>
        <sz val="11"/>
        <rFont val="Arial"/>
      </rPr>
      <t>Internal door type 07: doorset including hinges and softwood frame (factory primed), severe duty door leaves; laminated finish; 1650mm x 2100mm structural opening; no acoustic rating; 30 minutes fire rating; smoke seal; vision panels to both leaves</t>
    </r>
  </si>
  <si>
    <r>
      <rPr>
        <b/>
        <u/>
        <sz val="11"/>
        <rFont val="Arial"/>
      </rPr>
      <t xml:space="preserve">Internal double doors; with vision panels to both leaves
</t>
    </r>
    <r>
      <rPr>
        <sz val="11"/>
        <rFont val="Arial"/>
      </rPr>
      <t>Internal door type 08: doorset including hinges and softwood frame (factory primed), severe duty door leaves; laminated finish; 1965mm x 2100mm structural opening; no acoustic rating; no fire rating; 30 minutes fire rating; smoke seal; vision panels to both leaves</t>
    </r>
  </si>
  <si>
    <r>
      <rPr>
        <b/>
        <u/>
        <sz val="11"/>
        <rFont val="Arial"/>
      </rPr>
      <t xml:space="preserve">Wood doorsets Type D; See NBS clause L20/430
Internal double doors; with vision panels to both leaves
</t>
    </r>
    <r>
      <rPr>
        <sz val="11"/>
        <rFont val="Arial"/>
      </rPr>
      <t>Internal door type 08: doorset including hinges and softwood frame (factory primed), severe duty door leaves; laminated finish; 1965mm x 2100mm structural opening; 30dB Rw acoustic rating; no fire rating; 30 minutes fire rating; smoke seal; vision panels to both leaves</t>
    </r>
  </si>
  <si>
    <t>Extra over for extension piece to suit wider door frame; to suit 200mm thick metal stud partition wall</t>
  </si>
  <si>
    <r>
      <rPr>
        <b/>
        <u/>
        <sz val="11"/>
        <rFont val="Arial"/>
      </rPr>
      <t xml:space="preserve">Wood doorsets Type E; See NBS clause L20/430
Internal leaf and a half doors
</t>
    </r>
    <r>
      <rPr>
        <sz val="11"/>
        <rFont val="Arial"/>
      </rPr>
      <t>Internal door type 06: doorset including hinges and softwood frame (factory primed), severe duty door leaves; laminated finish; 1650mm x 2100mm structural opening; no acoustic rating; 60 minutes fire rating; smoke seal</t>
    </r>
  </si>
  <si>
    <r>
      <rPr>
        <b/>
        <u/>
        <sz val="11"/>
        <rFont val="Arial"/>
      </rPr>
      <t xml:space="preserve">Door Protection
</t>
    </r>
    <r>
      <rPr>
        <sz val="11"/>
        <rFont val="Arial"/>
      </rPr>
      <t>Corex door protection; single door</t>
    </r>
  </si>
  <si>
    <t>Corex door protection; double door</t>
  </si>
  <si>
    <t>Removal of door protection on completion</t>
  </si>
  <si>
    <r>
      <rPr>
        <b/>
        <u/>
        <sz val="11"/>
        <rFont val="Arial"/>
      </rPr>
      <t xml:space="preserve">Caulking
</t>
    </r>
    <r>
      <rPr>
        <sz val="11"/>
        <rFont val="Arial"/>
      </rPr>
      <t>Caulk to architraves</t>
    </r>
  </si>
  <si>
    <r>
      <rPr>
        <b/>
        <u/>
        <sz val="11"/>
        <rFont val="Arial"/>
      </rPr>
      <t xml:space="preserve">Manifestations
</t>
    </r>
    <r>
      <rPr>
        <sz val="11"/>
        <rFont val="Arial"/>
      </rPr>
      <t>To vision panels; if required</t>
    </r>
  </si>
  <si>
    <r>
      <rPr>
        <b/>
        <u/>
        <sz val="11"/>
        <rFont val="Arial"/>
      </rPr>
      <t xml:space="preserve">INTERNAL SCREENS
Internal screen Type 01; to Reception &amp; Support 00-03; See NBS Clause L40/230
Drawing BBA-Z1-00-DR-A-7202 P04 &amp; BBA-Z1-ZZ-SH-A-7121 P05
</t>
    </r>
    <r>
      <rPr>
        <sz val="11"/>
        <rFont val="Arial"/>
      </rPr>
      <t>Internal screen above opening; 2115mm wide x 1320mm high structural opening; no acoustic rating; no fire rating; vertically fluted, reeded glass</t>
    </r>
  </si>
  <si>
    <r>
      <rPr>
        <b/>
        <u/>
        <sz val="11"/>
        <rFont val="Arial"/>
      </rPr>
      <t xml:space="preserve">INTERNAL SCREENS
Internal screen Type 01; to Reception &amp; Support 00-03; See NBS Clause L40/230
</t>
    </r>
    <r>
      <rPr>
        <sz val="11"/>
        <rFont val="Arial"/>
      </rPr>
      <t>sealant</t>
    </r>
  </si>
  <si>
    <t>10/1/1</t>
  </si>
  <si>
    <t>22-004I 10/03/2025 13:08:21 Page : 58</t>
  </si>
  <si>
    <r>
      <rPr>
        <b/>
        <u/>
        <sz val="11"/>
        <rFont val="Arial"/>
      </rPr>
      <t xml:space="preserve">M SURFACE FINISHES
M60 PAINTING/ CLEAR FINISHING
M60/130 Gloss Paint Type A; Dulux Trade Ecosure Water Based Gloss
</t>
    </r>
    <r>
      <rPr>
        <sz val="11"/>
        <rFont val="Arial"/>
      </rPr>
      <t>to primed door frames; not exceeding 300mm</t>
    </r>
  </si>
  <si>
    <r>
      <rPr>
        <b/>
        <u/>
        <sz val="11"/>
        <rFont val="Arial"/>
      </rPr>
      <t xml:space="preserve">P BUILDING FABRIC SUNDRIES
P20 Unframed isolated trims/ skirtings/ sundry items
P20/110 Softwood Type A; Architraves to FS30 Doors
</t>
    </r>
    <r>
      <rPr>
        <sz val="11"/>
        <rFont val="Arial"/>
      </rPr>
      <t>MDF architraves to achieve 30FR to match doorset; to internal doors and glazed screens; finished size 20 x 70mm</t>
    </r>
  </si>
  <si>
    <r>
      <rPr>
        <b/>
        <u/>
        <sz val="11"/>
        <rFont val="Arial"/>
      </rPr>
      <t xml:space="preserve">P20/120 Hardwood
</t>
    </r>
    <r>
      <rPr>
        <sz val="11"/>
        <rFont val="Arial"/>
      </rPr>
      <t>American white oak architraves to achieve 60FR to match doorset; to internal doors and glazed screens; finished size 20 x 70mm</t>
    </r>
  </si>
  <si>
    <t>packers to structural openings</t>
  </si>
  <si>
    <t>non setting Gyproc acoustic and intumescent joint between door and frame and partition face; to full perimeter of door frame</t>
  </si>
  <si>
    <t>intumescent cold smoke seals to 30 minutes fire rated doorsets</t>
  </si>
  <si>
    <t>10/1/2</t>
  </si>
  <si>
    <t>22-004I 10/03/2025 13:08:21 Page : 59</t>
  </si>
  <si>
    <r>
      <rPr>
        <b/>
        <u/>
        <sz val="11"/>
        <rFont val="Arial"/>
      </rPr>
      <t xml:space="preserve">P BUILDING FABRIC SUNDRIES
P21 Door/Window ironmongery
See Architect drawing number DGW1-BBA-Z1-ZZ-DR-A-7101 P02 for ironmongery sets schedule and setting out; See section P21 of Architect Specification number DGW1-BBA-XX-XX-SP-A-0003
Samples; See NBS Clause P21/140
</t>
    </r>
    <r>
      <rPr>
        <sz val="11"/>
        <rFont val="Arial"/>
      </rPr>
      <t>Before placing orders with suppliers submit labelled samples of the following: ironmongery sets as noted in the schedule Conformity: Retain samples on site for the duration of the Contract. Ensure conformity of ironmongery as delivered with labelled samples.</t>
    </r>
  </si>
  <si>
    <r>
      <rPr>
        <b/>
        <u/>
        <sz val="11"/>
        <rFont val="Arial"/>
      </rPr>
      <t xml:space="preserve">Sample boards; See NBS Clause P21/141
</t>
    </r>
    <r>
      <rPr>
        <sz val="11"/>
        <rFont val="Arial"/>
      </rPr>
      <t>Before placing orders with suppliers submit a sample board, containing labelled samples of ironmongery and showing methods of fixing. Range: Include ironmongery sets as noted in the schedule. Conformity: Retain board on site in an approved location for the duration of the Contract. Ensure conformity of ironmongery as delivered with labelled samples.</t>
    </r>
  </si>
  <si>
    <r>
      <rPr>
        <b/>
        <u/>
        <sz val="11"/>
        <rFont val="Arial"/>
      </rPr>
      <t xml:space="preserve">Supply and fix the following ironmongery sets
</t>
    </r>
    <r>
      <rPr>
        <sz val="11"/>
        <rFont val="Arial"/>
      </rPr>
      <t>Hardware set h</t>
    </r>
  </si>
  <si>
    <t>set</t>
  </si>
  <si>
    <t>Hardware set i</t>
  </si>
  <si>
    <t>Hardware set j</t>
  </si>
  <si>
    <t>Hardware set k</t>
  </si>
  <si>
    <t>Hardware set l</t>
  </si>
  <si>
    <t>Hardware set m</t>
  </si>
  <si>
    <t>Hardware set n</t>
  </si>
  <si>
    <t>Hardware set o</t>
  </si>
  <si>
    <t>Hardware set p</t>
  </si>
  <si>
    <t>Master keys; Assume required</t>
  </si>
  <si>
    <r>
      <rPr>
        <b/>
        <u/>
        <sz val="11"/>
        <rFont val="Arial"/>
      </rPr>
      <t xml:space="preserve">Access control to internal doors
</t>
    </r>
    <r>
      <rPr>
        <sz val="11"/>
        <rFont val="Arial"/>
      </rPr>
      <t>Access control to internal doors; electromagnetic</t>
    </r>
  </si>
  <si>
    <t>10/1/3</t>
  </si>
  <si>
    <t>Page Total : 10/1/1</t>
  </si>
  <si>
    <t>Page Total : 10/1/2</t>
  </si>
  <si>
    <t>Page Total : 10/1/3</t>
  </si>
  <si>
    <t>22-004I 10/03/2025 13:08:21 Page : 61</t>
  </si>
  <si>
    <t>Wall Finishes</t>
  </si>
  <si>
    <t>11</t>
  </si>
  <si>
    <r>
      <rPr>
        <b/>
        <u/>
        <sz val="11"/>
        <rFont val="Arial"/>
      </rPr>
      <t xml:space="preserve">WALL FINISHES
K10 Gypsum board dry linings/ partitions/ ceilings
Wall linings
K10/155H Wall lining system (metal studs) Type 08; See Siniat Project Pack for full details; IS90B-212dB#0
</t>
    </r>
    <r>
      <rPr>
        <sz val="11"/>
        <rFont val="Arial"/>
      </rPr>
      <t>115mm thick; to internal skin of external wall; 300-600mm high (Level 05 plinth); See detail on architect drawing number DGW1-BBA-Z1-ZZ-DR-A-7427 P03</t>
    </r>
  </si>
  <si>
    <t>115mm thick; to internal skin of external wall; 3600-3900mm high</t>
  </si>
  <si>
    <t>115mm thick; to internal skin of external wall; 4200-4500mm high</t>
  </si>
  <si>
    <t>115mm thick; to internal skin of external wall; 4500-4800mm high</t>
  </si>
  <si>
    <t>115mm thick; reveals to doors and curtain walls; not exceeding 300mm wide</t>
  </si>
  <si>
    <r>
      <rPr>
        <b/>
        <u/>
        <sz val="11"/>
        <rFont val="Arial"/>
      </rPr>
      <t xml:space="preserve">Accessories
</t>
    </r>
    <r>
      <rPr>
        <sz val="11"/>
        <rFont val="Arial"/>
      </rPr>
      <t>abutments; 115mm thick wall lining</t>
    </r>
  </si>
  <si>
    <t>form openings for leaf and a half doors (external)</t>
  </si>
  <si>
    <t>form openings for curtain walling; 1020mm wide x 2550mm high</t>
  </si>
  <si>
    <t>form openings for curtain walling; 2035mm wide x 3080mm high</t>
  </si>
  <si>
    <t>form openings for curtain walling; 2035mm wide x 3910mm high</t>
  </si>
  <si>
    <t>form openings for curtain walling; 2035mm wide x 4050mm high</t>
  </si>
  <si>
    <t>extra over for deflection head detail; to underside of metal deck/concrete soffit; no details</t>
  </si>
  <si>
    <t>2x 50mm thick Rockwool RWA45 slabs to cavity as clause P10/190A</t>
  </si>
  <si>
    <r>
      <rPr>
        <b/>
        <u/>
        <sz val="11"/>
        <rFont val="Arial"/>
      </rPr>
      <t xml:space="preserve">K10/155I Wall lining system (metal studs) Type 09; See Siniat Project Pack for full details; IS90B-12St#0
</t>
    </r>
    <r>
      <rPr>
        <sz val="11"/>
        <rFont val="Arial"/>
      </rPr>
      <t>102.5mm thick; 3600-3900mm high</t>
    </r>
  </si>
  <si>
    <r>
      <rPr>
        <b/>
        <u/>
        <sz val="11"/>
        <rFont val="Arial"/>
      </rPr>
      <t xml:space="preserve">K10/155I Wall lining system (metal studs) Type 09; See Siniat Project Pack for full details; IS90B(400)-12St#0 (4th floor option 5.4m max height)
</t>
    </r>
    <r>
      <rPr>
        <sz val="11"/>
        <rFont val="Arial"/>
      </rPr>
      <t>102.5mm thick; 4500-4800mm high</t>
    </r>
  </si>
  <si>
    <r>
      <rPr>
        <b/>
        <u/>
        <sz val="11"/>
        <rFont val="Arial"/>
      </rPr>
      <t xml:space="preserve">Accessories
</t>
    </r>
    <r>
      <rPr>
        <sz val="11"/>
        <rFont val="Arial"/>
      </rPr>
      <t>abutments; 102.5mm thick wall lining</t>
    </r>
  </si>
  <si>
    <t>form openings for dry riser doors</t>
  </si>
  <si>
    <t>11/1/1</t>
  </si>
  <si>
    <t>22-004I 10/03/2025 13:08:21 Page : 62</t>
  </si>
  <si>
    <r>
      <rPr>
        <b/>
        <u/>
        <sz val="11"/>
        <rFont val="Arial"/>
      </rPr>
      <t xml:space="preserve">K10/125K Gypsum board partition systems Type 11; Siniat DB-12Mr; overall thickness 22.5mm; dot and dab; lining to PCC lift shaft
</t>
    </r>
    <r>
      <rPr>
        <sz val="11"/>
        <rFont val="Arial"/>
      </rPr>
      <t>3600-3900mm high</t>
    </r>
  </si>
  <si>
    <t>4200-4500mm high</t>
  </si>
  <si>
    <t>4500-4800mm high</t>
  </si>
  <si>
    <t>not exceeding 300mm wide to reveals of openings</t>
  </si>
  <si>
    <r>
      <rPr>
        <b/>
        <u/>
        <sz val="11"/>
        <rFont val="Arial"/>
      </rPr>
      <t xml:space="preserve">Accessories
</t>
    </r>
    <r>
      <rPr>
        <sz val="11"/>
        <rFont val="Arial"/>
      </rPr>
      <t>abutments</t>
    </r>
  </si>
  <si>
    <t>angles</t>
  </si>
  <si>
    <r>
      <rPr>
        <b/>
        <u/>
        <sz val="11"/>
        <rFont val="Arial"/>
      </rPr>
      <t xml:space="preserve">L30/135; Wall protection; galvanised; to Bin Store No NBS Clause
</t>
    </r>
    <r>
      <rPr>
        <sz val="11"/>
        <rFont val="Arial"/>
      </rPr>
      <t>MBT warehouse protection rails @ min. 200mm height; 76x51mm galvanised steel box section - https://react-am.co.uk/product-category/mbt-warehouse-protection-rails/</t>
    </r>
  </si>
  <si>
    <t>Extra over for end caps</t>
  </si>
  <si>
    <t>11/1/2</t>
  </si>
  <si>
    <t>22-004I 10/03/2025 13:08:21 Page : 63</t>
  </si>
  <si>
    <r>
      <rPr>
        <b/>
        <u/>
        <sz val="11"/>
        <rFont val="Arial"/>
      </rPr>
      <t xml:space="preserve">M20 Plastered/ rendered/ roughcast coatings
Gypsum plaster skim coat on plasterboard
</t>
    </r>
    <r>
      <rPr>
        <sz val="11"/>
        <rFont val="Arial"/>
      </rPr>
      <t>3mm skim; to all partitions and wall linings (Excludes fire protection beams and columns. Allowed floor to soffit for all partitions and wall linings)</t>
    </r>
  </si>
  <si>
    <t>3mm skim; to wall linings; not exceeding 300mm wide</t>
  </si>
  <si>
    <r>
      <rPr>
        <b/>
        <u/>
        <sz val="11"/>
        <rFont val="Arial"/>
      </rPr>
      <t xml:space="preserve">M40 Stone/Concrete/Quarry/Ceramic Tiling/Mosaic
M40/110 Ceramic Tiles Type A; Ceramic feature wall tiles to main entrance space and Lift Lobby areas as noted on wall finishes drawing; Claybrook Studio (or similar); Product reference: Nettuno Parkland (or similar); Colour: Green; Finish: Glazed; Size: 60mm x 250mm; Thickness: 9.5mm; Grout: Mapei Ultracolour plus fast setting and drying, water repellent grout; Colour London Grey (119) to Architects approval as clause M40/875, M40/885. (Colour to align with external mortar colour to glazed green facing brickwork)
</t>
    </r>
    <r>
      <rPr>
        <sz val="11"/>
        <rFont val="Arial"/>
      </rPr>
      <t>Walls; 60mm x 250mm glazed tiles; plain, width exceeding 300mm; on plasterboard; to Reception &amp; Support and Lift Lobby areas</t>
    </r>
  </si>
  <si>
    <t>Walls; 60mm x 250mm glazed tiles; plain, width not exceeding 300mm; on plasterboard; to Reception &amp; Support</t>
  </si>
  <si>
    <r>
      <rPr>
        <b/>
        <u/>
        <sz val="11"/>
        <rFont val="Arial"/>
      </rPr>
      <t xml:space="preserve">M40/110 Ceramic Tiles Type B; Ceramic wall tiles to WCs and Showers as noted on wall finishes drawing; Claybrook Studio (or similar); Product reference: Nettuno Parkland (or similar); Colour: Green; Finish: Glazed; Size: 60mm x 250mm; Thickness: 9.5mm; Grout: Mapei Ultracolour plus fast setting and drying, water repellent grout; Colour London Grey (119) to Architects approval as clause M40/875, M40/885. (Colour to align with external mortar colour to glazed green facing brickwork)
</t>
    </r>
    <r>
      <rPr>
        <sz val="11"/>
        <rFont val="Arial"/>
      </rPr>
      <t>Walls; 60mm x 250mm glazed tiles; plain, width exceeding 300mm; on moisture resistant plasterboard; to WCs and Showers</t>
    </r>
  </si>
  <si>
    <t>Splashbacks to sinks; 250mm high</t>
  </si>
  <si>
    <t>Tile backer board as NBS M40/401</t>
  </si>
  <si>
    <t>Tanking system; Mapei MAPELASTIC AQUADEFENSE; as NBS M40/483</t>
  </si>
  <si>
    <r>
      <rPr>
        <b/>
        <u/>
        <sz val="11"/>
        <rFont val="Arial"/>
      </rPr>
      <t xml:space="preserve">M40/110 Ceramic Tiles Type C; Ceramic splash backs to cleaners' sinks; Claybrook Studio (or contractor's choice); Product reference: Nettuno Parkland (or contractor's choice); Colour: Green; Finish: Glazed; Size: 60mm x 250mm; Thickness: 9.5mm; Grout: Mapei Ultracolour plus fast setting and drying, water repellent grout; Colour London Grey (119) to Architects approval as clause M40/875, M40/885. (Colour to align with external mortar colour to glazed green facing brickwork)
</t>
    </r>
    <r>
      <rPr>
        <sz val="11"/>
        <rFont val="Arial"/>
      </rPr>
      <t>Splashbacks to Cleaners sinks; width exceeding 300mm; on plasterboard</t>
    </r>
  </si>
  <si>
    <r>
      <rPr>
        <b/>
        <u/>
        <sz val="11"/>
        <rFont val="Arial"/>
      </rPr>
      <t xml:space="preserve">Accessories
</t>
    </r>
    <r>
      <rPr>
        <sz val="11"/>
        <rFont val="Arial"/>
      </rPr>
      <t>Corner profile trims</t>
    </r>
  </si>
  <si>
    <t>Edge trims</t>
  </si>
  <si>
    <t>Silicone sealant; to match wall tile colour</t>
  </si>
  <si>
    <r>
      <rPr>
        <b/>
        <u/>
        <sz val="11"/>
        <rFont val="Arial"/>
      </rPr>
      <t xml:space="preserve">M60 Painting/clear finishing
M60/110 Water-based finishing coats Type A; Emulsion Paint to Plasterboard/Plastered Wall Generally; Location: Eggshell to High Trafficked Areas; Dulux Trade Diamond Matt Emlusion/Eggshell
</t>
    </r>
    <r>
      <rPr>
        <sz val="11"/>
        <rFont val="Arial"/>
      </rPr>
      <t>To plasterboard and skim walls; width exceeding 300mm</t>
    </r>
  </si>
  <si>
    <t>To plasterboard and skim walls; width not exceeding 300mm</t>
  </si>
  <si>
    <r>
      <rPr>
        <b/>
        <u/>
        <sz val="11"/>
        <rFont val="Arial"/>
      </rPr>
      <t xml:space="preserve">M60/155; Fungicidal Paint; to Toilets, Showers; Dulux Mouldshield Fungicidal Eggshell
</t>
    </r>
    <r>
      <rPr>
        <sz val="11"/>
        <rFont val="Arial"/>
      </rPr>
      <t>To plasterboard and skim walls; width exceeding 300mm</t>
    </r>
  </si>
  <si>
    <r>
      <rPr>
        <b/>
        <u/>
        <sz val="11"/>
        <rFont val="Arial"/>
      </rPr>
      <t xml:space="preserve">M60/170 Silicate-based masonry coatings Type A; Keim Soldalit-ME Paint (White); To LV Switch &amp; Bin Store
</t>
    </r>
    <r>
      <rPr>
        <sz val="11"/>
        <rFont val="Arial"/>
      </rPr>
      <t>To weather defence board walls; width exceeding 300mm</t>
    </r>
  </si>
  <si>
    <t>To weather defence board walls; width not exceeding 300mm</t>
  </si>
  <si>
    <t>11/1/3</t>
  </si>
  <si>
    <t>22-004I 10/03/2025 13:08:21 Page : 64</t>
  </si>
  <si>
    <t>Allow for cutting out for ducts and cable trays</t>
  </si>
  <si>
    <t>Acoustic/intumescent sealant to top of wall linings</t>
  </si>
  <si>
    <t>Acoustic/intumescent sealant to bottom of wall linings</t>
  </si>
  <si>
    <t>11/1/4</t>
  </si>
  <si>
    <t>Page Total : 11/1/1</t>
  </si>
  <si>
    <t>Page Total : 11/1/2</t>
  </si>
  <si>
    <t>Page Total : 11/1/3</t>
  </si>
  <si>
    <t>Page Total : 11/1/4</t>
  </si>
  <si>
    <t>22-004I 10/03/2025 13:08:21 Page : 66</t>
  </si>
  <si>
    <t>Floor Finishes</t>
  </si>
  <si>
    <t>12</t>
  </si>
  <si>
    <r>
      <rPr>
        <b/>
        <u/>
        <sz val="11"/>
        <rFont val="Arial"/>
      </rPr>
      <t xml:space="preserve">FLOOR FINISHES
Floor finishes as per drawings DGW1-BBA-Z1-00-DR-A-8151, 01-DR-A-8151, 02-DR-A-8151, 03-DR-A-8151, 04-DR-A-8151, 05-DR-A-8151, DGW1-BBA-Z1-ZZ-DR-A-7601, 7602, 7611, 7612 and DGW1-BBA-Z1-ZZ-SK-A-6911.
Tanking/Screeding
Type 07 - Cold applied tanking Type B; Sikafloor -420 moisture triggered polyurethane resin coating; as J30/110B
</t>
    </r>
    <r>
      <rPr>
        <sz val="11"/>
        <rFont val="Arial"/>
      </rPr>
      <t>Width &gt; 300mm</t>
    </r>
  </si>
  <si>
    <r>
      <rPr>
        <b/>
        <u/>
        <sz val="11"/>
        <rFont val="Arial"/>
      </rPr>
      <t xml:space="preserve">Minimum 40mm thick proprietary quick drying levelling screed Type B to suit Terrazo finish GF; Mapei TOPCEM; as M10/130B
</t>
    </r>
    <r>
      <rPr>
        <sz val="11"/>
        <rFont val="Arial"/>
      </rPr>
      <t>Width &gt; 300mm</t>
    </r>
  </si>
  <si>
    <r>
      <rPr>
        <b/>
        <u/>
        <sz val="11"/>
        <rFont val="Arial"/>
      </rPr>
      <t xml:space="preserve">57mm screed under matwell GF as per drawing DGW1-BBA-Z1-ZZ-SK-A-6911
</t>
    </r>
    <r>
      <rPr>
        <sz val="11"/>
        <rFont val="Arial"/>
      </rPr>
      <t>Width &gt; 300mm</t>
    </r>
  </si>
  <si>
    <r>
      <rPr>
        <b/>
        <u/>
        <sz val="11"/>
        <rFont val="Arial"/>
      </rPr>
      <t xml:space="preserve">45mm cementitious screed to stair half landings
</t>
    </r>
    <r>
      <rPr>
        <sz val="11"/>
        <rFont val="Arial"/>
      </rPr>
      <t>Width &gt; 300mm</t>
    </r>
  </si>
  <si>
    <r>
      <rPr>
        <b/>
        <u/>
        <sz val="11"/>
        <rFont val="Arial"/>
      </rPr>
      <t xml:space="preserve">15mm latex screed to stair main landings
</t>
    </r>
    <r>
      <rPr>
        <sz val="11"/>
        <rFont val="Arial"/>
      </rPr>
      <t>Width &gt; 300mm</t>
    </r>
  </si>
  <si>
    <r>
      <rPr>
        <b/>
        <u/>
        <sz val="11"/>
        <rFont val="Arial"/>
      </rPr>
      <t xml:space="preserve">Type 12 - Surface sealer to wearing screeds Type A; Watco UK Ltd Universal Sealer Dustproofer; as M10/680A
</t>
    </r>
    <r>
      <rPr>
        <sz val="11"/>
        <rFont val="Arial"/>
      </rPr>
      <t>Width &gt; 300mm</t>
    </r>
  </si>
  <si>
    <t>12/1/1</t>
  </si>
  <si>
    <t>22-004I 10/03/2025 13:08:21 Page : 67</t>
  </si>
  <si>
    <r>
      <rPr>
        <b/>
        <u/>
        <sz val="11"/>
        <rFont val="Arial"/>
      </rPr>
      <t xml:space="preserve">Raised Access Flooring
Raised access floor: Kingspan Data &amp; Flooring RHG600; as K41/130
</t>
    </r>
    <r>
      <rPr>
        <sz val="11"/>
        <rFont val="Arial"/>
      </rPr>
      <t>SSL +150mm</t>
    </r>
  </si>
  <si>
    <t>SSL +138mm</t>
  </si>
  <si>
    <t>Perimeter cantilever along grid line A, 8 &amp; 11 as shown on drg DGW1 BBA Z1 ZZ DR A 7673</t>
  </si>
  <si>
    <t>Provide 600 x 900mm oversize panels to maintain a mimimum cut size of not less than half full width and half full length of a standard panel</t>
  </si>
  <si>
    <t>In accordance with good practice, leave a 10mm expansion gap between all panel edges and building abutments and seal with a fire retardant closed cell filler</t>
  </si>
  <si>
    <t>Vacuum clean sub-floor surface and apply two coats of tinted waterbased PVA dustproof sealer.</t>
  </si>
  <si>
    <t>Post Installation Visit (PIV) to lift up raised floor panels and vacuum clean all acessible areas of the floor void, excluding around services and under trapped tiles. Includes for minor de-rock where necessary.</t>
  </si>
  <si>
    <t>Pre mark pedestal positions on sub floors</t>
  </si>
  <si>
    <t>Allowance for cut outs/gromets in panels</t>
  </si>
  <si>
    <t>Protection allowance</t>
  </si>
  <si>
    <t>Removal of protection on completion</t>
  </si>
  <si>
    <t>Electrical continuity testing</t>
  </si>
  <si>
    <t>Earth bonding</t>
  </si>
  <si>
    <t>Allowance for secondary bridging; due to need to span over services in floor zone</t>
  </si>
  <si>
    <r>
      <rPr>
        <b/>
        <u/>
        <sz val="11"/>
        <rFont val="Arial"/>
      </rPr>
      <t xml:space="preserve">75mm Jablite void former and 75mm screed as per drawing DGW1-BBA-Z1-ZZ-SK-A-6911 (Note: Drawing 7426 Roof Section Detail states 75mm screed onto EPS250 NBS M10/130 - M10/130 doesn't seem to correspond and EPS250 / Jabite not found in NBS)
</t>
    </r>
    <r>
      <rPr>
        <sz val="11"/>
        <rFont val="Arial"/>
      </rPr>
      <t>Width &gt; 300mm</t>
    </r>
  </si>
  <si>
    <r>
      <rPr>
        <b/>
        <u/>
        <sz val="11"/>
        <rFont val="Arial"/>
      </rPr>
      <t xml:space="preserve">6mm cement particle board to wet areas; as Floor Finishes notes (no specification)
</t>
    </r>
    <r>
      <rPr>
        <sz val="11"/>
        <rFont val="Arial"/>
      </rPr>
      <t>Width &gt; 300mm</t>
    </r>
  </si>
  <si>
    <t>12/1/2</t>
  </si>
  <si>
    <t>22-004I 10/03/2025 13:08:21 Page : 68</t>
  </si>
  <si>
    <r>
      <rPr>
        <b/>
        <u/>
        <sz val="11"/>
        <rFont val="Arial"/>
      </rPr>
      <t xml:space="preserve">Carpeting
Type 01 - Carpet tiling Type A; Tarkett Desso Retrace, colour and pattern TBA with client; as M50/130A
</t>
    </r>
    <r>
      <rPr>
        <sz val="11"/>
        <rFont val="Arial"/>
      </rPr>
      <t>Width &gt; 300mm</t>
    </r>
  </si>
  <si>
    <t>Width &gt; 300mm; to half landings of staircases</t>
  </si>
  <si>
    <t>To treads of staircases; 250mm wide</t>
  </si>
  <si>
    <t>To risers of staircases; approx. 169mm high</t>
  </si>
  <si>
    <r>
      <rPr>
        <b/>
        <u/>
        <sz val="11"/>
        <rFont val="Arial"/>
      </rPr>
      <t xml:space="preserve">Type 02 - Accent carpet tiling Type B; Tarkett Desso Retrace, colour and pattern TBA with client; as M50/130B
</t>
    </r>
    <r>
      <rPr>
        <sz val="11"/>
        <rFont val="Arial"/>
      </rPr>
      <t>Width &gt; 300mm</t>
    </r>
  </si>
  <si>
    <r>
      <rPr>
        <b/>
        <u/>
        <sz val="11"/>
        <rFont val="Arial"/>
      </rPr>
      <t xml:space="preserve">Type 09 - Anti-static carpet tiling Type C; Tarkett Desso Essence Carpet Tiles; as M50/130C
</t>
    </r>
    <r>
      <rPr>
        <sz val="11"/>
        <rFont val="Arial"/>
      </rPr>
      <t>Width &gt; 300mm</t>
    </r>
  </si>
  <si>
    <t>12/1/3</t>
  </si>
  <si>
    <t>22-004I 10/03/2025 13:08:21 Page : 69</t>
  </si>
  <si>
    <r>
      <rPr>
        <b/>
        <u/>
        <sz val="11"/>
        <rFont val="Arial"/>
      </rPr>
      <t xml:space="preserve">Tiling
Type 04 - Feature terrazzo tiles Type B; Quiligotti Terrazzo Tiles Ltd Terrazzo Slip Resistant 597x597mm tiles, colour TBA with client; as M41/110B
</t>
    </r>
    <r>
      <rPr>
        <sz val="11"/>
        <rFont val="Arial"/>
      </rPr>
      <t>To entrance; Width &gt; 300mm</t>
    </r>
  </si>
  <si>
    <t>Matching tile skirting, including metal capping trim</t>
  </si>
  <si>
    <t>Allow for movement / expansion joints as necessary; movement joints to be filled with Mapei MAPESIL LM silicone sealant as in colour to match grout; as M41/110B</t>
  </si>
  <si>
    <r>
      <rPr>
        <b/>
        <u/>
        <sz val="11"/>
        <rFont val="Arial"/>
      </rPr>
      <t xml:space="preserve">Type 05 - Terrazzo effect tiles Type A; CTD Architectural Stracciatella 600x600mm tiles, colour Miscela-R Grafito (TBA with client); as M41/110A
</t>
    </r>
    <r>
      <rPr>
        <sz val="11"/>
        <rFont val="Arial"/>
      </rPr>
      <t>To WC's; Width &gt; 300mm</t>
    </r>
  </si>
  <si>
    <t>Allow for movement / expansion joints as necessary; movement joints to be filled with Mapei MAPESIL LM silicone sealant as in colour to match grout; as M41/110A</t>
  </si>
  <si>
    <r>
      <rPr>
        <b/>
        <u/>
        <sz val="11"/>
        <rFont val="Arial"/>
      </rPr>
      <t xml:space="preserve">Type 11 - Terrazzo effect tiles slip resistant Type C; CTD Architectural Venice Villa 600x600mm tiles, colour Silver (TBA with client); as M41/110C
</t>
    </r>
    <r>
      <rPr>
        <sz val="11"/>
        <rFont val="Arial"/>
      </rPr>
      <t>To showers; Width &gt; 300mm</t>
    </r>
  </si>
  <si>
    <t>Allow for movement / expansion joints as necessary; movement joints to be filled with Mapei MAPESIL LM silicone sealant as in colour to match grout; as M41/110C</t>
  </si>
  <si>
    <r>
      <rPr>
        <b/>
        <u/>
        <sz val="11"/>
        <rFont val="Arial"/>
      </rPr>
      <t xml:space="preserve">Vinyl Sheet Flooring
Type 06 - Vinyl sheet; Tarkett Ltd Sfetred ION Linen (Compact), colour/pattern TBA with client; as M50/150
</t>
    </r>
    <r>
      <rPr>
        <sz val="11"/>
        <rFont val="Arial"/>
      </rPr>
      <t>Width &gt; 300mm</t>
    </r>
  </si>
  <si>
    <r>
      <rPr>
        <b/>
        <u/>
        <sz val="11"/>
        <rFont val="Arial"/>
      </rPr>
      <t xml:space="preserve">Capped Coved Skirting on continuous former; as M50/150 &amp; M50/770A
</t>
    </r>
    <r>
      <rPr>
        <sz val="11"/>
        <rFont val="Arial"/>
      </rPr>
      <t>Skirting</t>
    </r>
  </si>
  <si>
    <t>12/1/4</t>
  </si>
  <si>
    <t>22-004I 10/03/2025 13:08:21 Page : 70</t>
  </si>
  <si>
    <r>
      <rPr>
        <b/>
        <u/>
        <sz val="11"/>
        <rFont val="Arial"/>
      </rPr>
      <t xml:space="preserve">Barrier Matting
Type 03 - Entrance matting; Gradus Esplanade 6000 Primary Barrier Matting; as N10/300
</t>
    </r>
    <r>
      <rPr>
        <sz val="11"/>
        <rFont val="Arial"/>
      </rPr>
      <t>Width &gt; 300mm</t>
    </r>
  </si>
  <si>
    <r>
      <rPr>
        <b/>
        <u/>
        <sz val="11"/>
        <rFont val="Arial"/>
      </rPr>
      <t xml:space="preserve">Type 10 - Secondary barrier matting tiles Type D; Tarkett Desso Protect Carpet Tiles 500x500mm; as M50/130D
</t>
    </r>
    <r>
      <rPr>
        <sz val="11"/>
        <rFont val="Arial"/>
      </rPr>
      <t>Width &gt; 300mm</t>
    </r>
  </si>
  <si>
    <r>
      <rPr>
        <b/>
        <u/>
        <sz val="11"/>
        <rFont val="Arial"/>
      </rPr>
      <t xml:space="preserve">Floor Trims
Gradus XT Aluminium Stair Edgings (ADXT3); as M50/750
</t>
    </r>
    <r>
      <rPr>
        <sz val="11"/>
        <rFont val="Arial"/>
      </rPr>
      <t>Stair edging to nosings</t>
    </r>
  </si>
  <si>
    <r>
      <rPr>
        <b/>
        <u/>
        <sz val="11"/>
        <rFont val="Arial"/>
      </rPr>
      <t xml:space="preserve">Gradus Aluminium cover; as M50/740
</t>
    </r>
    <r>
      <rPr>
        <sz val="11"/>
        <rFont val="Arial"/>
      </rPr>
      <t>At doors</t>
    </r>
  </si>
  <si>
    <t>Between Terrazzo tiles and entrance matting</t>
  </si>
  <si>
    <r>
      <rPr>
        <b/>
        <u/>
        <sz val="11"/>
        <rFont val="Arial"/>
      </rPr>
      <t xml:space="preserve">Risersafe metal grating (assumed)
</t>
    </r>
    <r>
      <rPr>
        <sz val="11"/>
        <rFont val="Arial"/>
      </rPr>
      <t>Width &gt; 300mm</t>
    </r>
  </si>
  <si>
    <r>
      <rPr>
        <b/>
        <u/>
        <sz val="11"/>
        <rFont val="Arial"/>
      </rPr>
      <t xml:space="preserve">Skirtings
Softwood skirting; American White Oak, Splayed profile; as P20/110
</t>
    </r>
    <r>
      <rPr>
        <sz val="11"/>
        <rFont val="Arial"/>
      </rPr>
      <t>Skirting</t>
    </r>
  </si>
  <si>
    <r>
      <rPr>
        <b/>
        <u/>
        <sz val="11"/>
        <rFont val="Arial"/>
      </rPr>
      <t xml:space="preserve">Painting and Decorating
Decoration to softwood skirting; Dulux Trade Ecosure Water Based Gloss, one initial coat, one undercoat and two finishing coats; as M60/130A
</t>
    </r>
    <r>
      <rPr>
        <sz val="11"/>
        <rFont val="Arial"/>
      </rPr>
      <t>Isolated surfaces; girth not exceeding 300mm</t>
    </r>
  </si>
  <si>
    <t>12/1/5</t>
  </si>
  <si>
    <t>Page Total : 12/1/1</t>
  </si>
  <si>
    <t>Page Total : 12/1/2</t>
  </si>
  <si>
    <t>Page Total : 12/1/3</t>
  </si>
  <si>
    <t>Page Total : 12/1/4</t>
  </si>
  <si>
    <t>Page Total : 12/1/5</t>
  </si>
  <si>
    <t>22-004I 10/03/2025 13:08:21 Page : 72</t>
  </si>
  <si>
    <t>Ceiling Finishes</t>
  </si>
  <si>
    <t>13</t>
  </si>
  <si>
    <r>
      <rPr>
        <b/>
        <u/>
        <sz val="11"/>
        <rFont val="Arial"/>
      </rPr>
      <t xml:space="preserve">CEILING FINISHES
Ceiling finishes as per drawings DGW1-BBA-Z1-00-DR-A-8051, 01-DR-A-8051, 02-DR-A-8051, 03-DR-A-8051, 04-DR-A-8051 and 05-DR-A-8051.
Soffit Linings
Type 06 - Exposed soffit
</t>
    </r>
    <r>
      <rPr>
        <sz val="11"/>
        <rFont val="Arial"/>
      </rPr>
      <t>Soffits</t>
    </r>
  </si>
  <si>
    <r>
      <rPr>
        <b/>
        <u/>
        <sz val="11"/>
        <rFont val="Arial"/>
      </rPr>
      <t xml:space="preserve">Type 07 - High-impact insulated soffit slab Type A; Rockwool Soffit Slab; as P10/185A
</t>
    </r>
    <r>
      <rPr>
        <sz val="11"/>
        <rFont val="Arial"/>
      </rPr>
      <t>Soffits; 130mm + 70mm thick</t>
    </r>
  </si>
  <si>
    <t>6mm thick rigid fibre cement board</t>
  </si>
  <si>
    <r>
      <rPr>
        <b/>
        <u/>
        <sz val="11"/>
        <rFont val="Arial"/>
      </rPr>
      <t xml:space="preserve">Type 09 - External Insulated Soffit; Rockwool Soffit Slab Type B; as P10/185B
</t>
    </r>
    <r>
      <rPr>
        <sz val="11"/>
        <rFont val="Arial"/>
      </rPr>
      <t>Soffits; 130mm + 70mm thick</t>
    </r>
  </si>
  <si>
    <r>
      <rPr>
        <b/>
        <u/>
        <sz val="11"/>
        <rFont val="Arial"/>
      </rPr>
      <t xml:space="preserve">Type 08 - External Rendered Soffit; Proprietary cement gauged render, include for render, cement boards, support system and insect mesh; all as M21/210
</t>
    </r>
    <r>
      <rPr>
        <sz val="11"/>
        <rFont val="Arial"/>
      </rPr>
      <t>To exterior entrance canopy and balconys; Width &gt; 300mm</t>
    </r>
  </si>
  <si>
    <r>
      <rPr>
        <b/>
        <u/>
        <sz val="11"/>
        <rFont val="Arial"/>
      </rPr>
      <t xml:space="preserve">Stainless Steel Access Panel; as M21/260
Access panels UK; Chigwell, Essex IG7 4LZ
</t>
    </r>
    <r>
      <rPr>
        <sz val="11"/>
        <rFont val="Arial"/>
      </rPr>
      <t>To exterior entrance canopy soffit; 300x300mm</t>
    </r>
  </si>
  <si>
    <t>13/1/1</t>
  </si>
  <si>
    <t>22-004I 10/03/2025 13:08:21 Page : 73</t>
  </si>
  <si>
    <r>
      <rPr>
        <b/>
        <u/>
        <sz val="11"/>
        <rFont val="Arial"/>
      </rPr>
      <t xml:space="preserve">Plasterboard Bulkheads
Note: Locations of bulkheads measured as indicated on Reflected Ceiling Plans 8051. However, heights of bulkheads Type 12 &amp; 13 have been measured as indicated on drawings BBA-Z1-ZZ_DR-A-7675 &amp; 7676 (i.e. difference between two adjacent ceilings) and the ceiling plan key descriptions of "Bulkhead up to 1.5m" and "Bulkhead up to 3.6m" have been ignored, as it is not clear how they correspond to the bulkhead requirements.
Bulkheads to ceiling type 01; Suspended MF plasterboard bulkhead; hung from soffit to close off open end of suspended ceiling; refer to siniat project pack 105 - 108 and drawings BBA-Z1-ZZ-DR-A-7601 &amp; 7611
</t>
    </r>
    <r>
      <rPr>
        <sz val="11"/>
        <rFont val="Arial"/>
      </rPr>
      <t>390mm high (at stairs)</t>
    </r>
  </si>
  <si>
    <t>420mm high (at stairs)</t>
  </si>
  <si>
    <r>
      <rPr>
        <b/>
        <u/>
        <sz val="11"/>
        <rFont val="Arial"/>
      </rPr>
      <t xml:space="preserve">Bulkheads to ceiling type 01; Suspended MF plasterboard bulkhead; between differing heights of adjacent ceilings (assumed similar to ceiling type 10 bulkheads, drawings 7675 and 7676); refer to siniat project pack 105 - 108
</t>
    </r>
    <r>
      <rPr>
        <sz val="11"/>
        <rFont val="Arial"/>
      </rPr>
      <t>548mm high with 100mm return at joint with higher level ceiling (at circulation/reception)</t>
    </r>
  </si>
  <si>
    <t>900mm high with 100mm return at joint with higher level ceiling (at WC's)</t>
  </si>
  <si>
    <r>
      <rPr>
        <b/>
        <u/>
        <sz val="11"/>
        <rFont val="Arial"/>
      </rPr>
      <t xml:space="preserve">Bulkheads to ceiling type 10; Suspended MF plasterboard bulkhead; between differing heights of adjacent ceilings; refer to drawings DGW1-BBA-Z1-ZZ-DR-A-7675 and 7676.
</t>
    </r>
    <r>
      <rPr>
        <sz val="11"/>
        <rFont val="Arial"/>
      </rPr>
      <t>323mm high with 100mm return at joint with higher level ceiling (assume height of 1053mm shown on drawing 7676 is incorrect, based on ceiling heights stated on plans)</t>
    </r>
  </si>
  <si>
    <t>1053mm high with 100mm return at joint with higher level ceiling (as drawing 7675)</t>
  </si>
  <si>
    <t>13/1/2</t>
  </si>
  <si>
    <t>22-004I 10/03/2025 13:08:21 Page : 74</t>
  </si>
  <si>
    <r>
      <rPr>
        <b/>
        <u/>
        <sz val="11"/>
        <rFont val="Arial"/>
      </rPr>
      <t xml:space="preserve">Plasterboard Ceilings
Type 01 and 10 - Suspended MF Plasterboard ceiling Type A; Siniat 12.5mm GTEC Standard Board on MFC2330 GTEC Metal Angle hangers at 1200mm centres; all as K10/220A
</t>
    </r>
    <r>
      <rPr>
        <sz val="11"/>
        <rFont val="Arial"/>
      </rPr>
      <t>Width &gt; 300mm</t>
    </r>
  </si>
  <si>
    <t>Allow for 18mm plywood pattress with GTEC Pattress Brackets fixed at 300mm centres where required for the support of blind track and M&amp;E lighting</t>
  </si>
  <si>
    <r>
      <rPr>
        <b/>
        <u/>
        <sz val="11"/>
        <rFont val="Arial"/>
      </rPr>
      <t xml:space="preserve">Type 02 - Suspended MF Plasterboard MR ceiling Type B; Siniat 12.5mm GTEC Moisure Board on MFC2330 GTEC Metal Angle hangers at 1200mm centres; all as K10/220B
</t>
    </r>
    <r>
      <rPr>
        <sz val="11"/>
        <rFont val="Arial"/>
      </rPr>
      <t>Width &gt; 300mm</t>
    </r>
  </si>
  <si>
    <r>
      <rPr>
        <b/>
        <u/>
        <sz val="11"/>
        <rFont val="Arial"/>
      </rPr>
      <t xml:space="preserve">Perimeter edge detail; including 6mm continuous beads of GTEC Intumescent Acoustic Sealant around the perimeter of the framing or to the edge of outer layers of board, ensuring that all air-paths are sealed
</t>
    </r>
    <r>
      <rPr>
        <sz val="11"/>
        <rFont val="Arial"/>
      </rPr>
      <t>To plasterboard ceilings</t>
    </r>
  </si>
  <si>
    <r>
      <rPr>
        <b/>
        <u/>
        <sz val="11"/>
        <rFont val="Arial"/>
      </rPr>
      <t xml:space="preserve">Plasterwork
Skim coat plaster on plasterboard linings (assumed)
</t>
    </r>
    <r>
      <rPr>
        <sz val="11"/>
        <rFont val="Arial"/>
      </rPr>
      <t>Width &gt; 300mm</t>
    </r>
  </si>
  <si>
    <t>13/1/3</t>
  </si>
  <si>
    <t>22-004I 10/03/2025 13:08:21 Page : 75</t>
  </si>
  <si>
    <r>
      <rPr>
        <b/>
        <u/>
        <sz val="11"/>
        <rFont val="Arial"/>
      </rPr>
      <t xml:space="preserve">Suspended Ceilings
Type 03 - Suspended Class A Perforated Metal Ceiling Planks Type A; SAS200 or similar approved including concealed suspended ceiling grid, SAS J-bar suspension and acoustic mineral wool pad insulation with black tissue face, foil back and sides; as K40/115A
</t>
    </r>
    <r>
      <rPr>
        <sz val="11"/>
        <rFont val="Arial"/>
      </rPr>
      <t>Width &gt; 300mm</t>
    </r>
  </si>
  <si>
    <t>Perimeter trim; as recommended by manufacturer</t>
  </si>
  <si>
    <r>
      <rPr>
        <b/>
        <u/>
        <sz val="11"/>
        <rFont val="Arial"/>
      </rPr>
      <t xml:space="preserve">Type 04 - Suspended Feature Linear Metal Plank Ceiling Type B; BXD Multi-panel or similar approved including metal suspended ceiling hangers; as K40/115B
</t>
    </r>
    <r>
      <rPr>
        <sz val="11"/>
        <rFont val="Arial"/>
      </rPr>
      <t>Width &gt; 300mm</t>
    </r>
  </si>
  <si>
    <t>Perimeter detail; as recommended by manufacturer</t>
  </si>
  <si>
    <r>
      <rPr>
        <b/>
        <u/>
        <sz val="11"/>
        <rFont val="Arial"/>
      </rPr>
      <t xml:space="preserve">Type 05 - Suspended Tegular Lay-in Grid Ceiling Type D; Rockfon Blanka 600x600mm including suspension system as recommended by manufacturer; as K40/115D
</t>
    </r>
    <r>
      <rPr>
        <sz val="11"/>
        <rFont val="Arial"/>
      </rPr>
      <t>Width &gt; 300mm</t>
    </r>
  </si>
  <si>
    <t>A-edge perimeter with wall angle trim</t>
  </si>
  <si>
    <r>
      <rPr>
        <b/>
        <u/>
        <sz val="11"/>
        <rFont val="Arial"/>
      </rPr>
      <t xml:space="preserve">Shadow batten to perimeters (assumed)
</t>
    </r>
    <r>
      <rPr>
        <sz val="11"/>
        <rFont val="Arial"/>
      </rPr>
      <t>To suspended ceilings</t>
    </r>
  </si>
  <si>
    <r>
      <rPr>
        <b/>
        <u/>
        <sz val="11"/>
        <rFont val="Arial"/>
      </rPr>
      <t xml:space="preserve">Painting &amp; Decorating
Decoration to plastered ceilings; Dulux Trade Ecosure Matt Type B, one thinning coat and two finishing coats; as M60/110B
</t>
    </r>
    <r>
      <rPr>
        <sz val="11"/>
        <rFont val="Arial"/>
      </rPr>
      <t>Colour White &gt; 300mm wide</t>
    </r>
  </si>
  <si>
    <t>Colour Dark Grey TBA &gt; 300mm wide</t>
  </si>
  <si>
    <r>
      <rPr>
        <b/>
        <u/>
        <sz val="11"/>
        <rFont val="Arial"/>
      </rPr>
      <t xml:space="preserve">Decoration to shaddow battens (assumed)
</t>
    </r>
    <r>
      <rPr>
        <sz val="11"/>
        <rFont val="Arial"/>
      </rPr>
      <t>Two coats matte black emulsion</t>
    </r>
  </si>
  <si>
    <t>13/1/4</t>
  </si>
  <si>
    <t>Page Total : 13/1/1</t>
  </si>
  <si>
    <t>Page Total : 13/1/2</t>
  </si>
  <si>
    <t>Page Total : 13/1/3</t>
  </si>
  <si>
    <t>Page Total : 13/1/4</t>
  </si>
  <si>
    <t>22-004I 10/03/2025 13:08:21 Page : 77</t>
  </si>
  <si>
    <t>FF&amp;E</t>
  </si>
  <si>
    <t>14</t>
  </si>
  <si>
    <r>
      <rPr>
        <b/>
        <u/>
        <sz val="11"/>
        <rFont val="Arial"/>
      </rPr>
      <t xml:space="preserve">FITTINGS, FURNISHINGS &amp; EQUIPMENT
N FURNITURE/EQUIPMENT
N10 GENERAL FIXTURES/FURNISHINGS/ EQUIPMENT
Purpose-made Reception Desk; See NBS clause N10/110
Bespoke reception desk to entrance lobby, with scalloped Oak veneer frontage, recycled plastic worktop, and fluted glass privacy screen; To follow design intent as shown on drawing Reception Desk; Services/Worktop: Coordination required by furniture manufacturer with Mechanical &amp; Electrical Subcontractor drawings. Lighting: Behind counter lighting with concealed fixings all in accordance with Electrical Engineers specification; See Architect drawing number DGW1-BBA-Z1-00-DR-A-7202 P04 for details
</t>
    </r>
    <r>
      <rPr>
        <sz val="11"/>
        <rFont val="Arial"/>
      </rPr>
      <t>SC design as NBS clause N10/20</t>
    </r>
  </si>
  <si>
    <t>'L' Shaped reception/welcome desk; 2460/2100mm long x 600mm wide x 720mm high with upper section 1150mm long x 340mm wide x 400mm high; with under counter integrated lockable drawers and cupboards required for staff. Assume light and power to be picked up by MEP SC</t>
  </si>
  <si>
    <r>
      <rPr>
        <b/>
        <u/>
        <sz val="11"/>
        <rFont val="Arial"/>
      </rPr>
      <t xml:space="preserve">Vanity Unit/Wash trough; See NBS clause N10/110
Description: Solid Surface Vanity Unit/Trough to WCs; Manufacturer: Excelsior Panelling Systems Ltd; Product reference: Magma Solid Surface Washtrough Units (TR/SL1 ); Materials - Body: 13 mm Solid Surface; Size: 800; Water supply, overflow and waste holes; Waste: Wastes are included within the trough design for the SL option. Secret fixed and not visible to the eye; Integral accessories: Hinged access panels with keyed budget lock; Edges: Square internal corners/junctions as standard; Material: Solid Grade Laminate to match Excelsior Marina IPS (K32); Panel: Solid Grade Laminate to match Excelsior Marina IPS (K32); Type: 500 mm bed depth x 800 mm overall rim height, 250 mm front Apron (no rear upstand). The worktop has 50 mm front and side rim sections with a 120 mm rear tap bed. Sloping Internal Trough bed with a continuous rear groove channelling water into a central slot with hidden under chamber c/w waste tray detail; Form: Floor-mounted; Dimensions: Manufacturer's Standard; Other requirements: To be read in conjunction with N13/341 for tap requirements
</t>
    </r>
    <r>
      <rPr>
        <sz val="11"/>
        <rFont val="Arial"/>
      </rPr>
      <t>700mm long x 350mm wide</t>
    </r>
  </si>
  <si>
    <t>780mm long x 300mm wide</t>
  </si>
  <si>
    <t>780mm long x 500mm wide</t>
  </si>
  <si>
    <r>
      <rPr>
        <b/>
        <u/>
        <sz val="11"/>
        <rFont val="Arial"/>
      </rPr>
      <t xml:space="preserve">Shelving system; See NBS clause N10/160
</t>
    </r>
    <r>
      <rPr>
        <sz val="11"/>
        <rFont val="Arial"/>
      </rPr>
      <t>Spur shelving to Cleaners Stores; 3nr wall mounted shelves; pur pre finished steel wall rails and shelf brackets, laminate faced and lipped solid MDF shelves, all necessary fittings and fastenings.</t>
    </r>
  </si>
  <si>
    <r>
      <rPr>
        <b/>
        <u/>
        <sz val="11"/>
        <rFont val="Arial"/>
      </rPr>
      <t xml:space="preserve">Benches Type A; See NBS clause N10/170
Timber Benched seating to shower areas; Manufacturer: Excelsior Panelling Systems Ltd; Product reference: Hydroline Square Ash
</t>
    </r>
    <r>
      <rPr>
        <sz val="11"/>
        <rFont val="Arial"/>
      </rPr>
      <t>1280mm long</t>
    </r>
  </si>
  <si>
    <r>
      <rPr>
        <b/>
        <u/>
        <sz val="11"/>
        <rFont val="Arial"/>
      </rPr>
      <t xml:space="preserve">Chairs Type A; See NBS clause N10/177
</t>
    </r>
    <r>
      <rPr>
        <sz val="11"/>
        <rFont val="Arial"/>
      </rPr>
      <t>Task Chair to reception; Standard: To BS EN 1335-2; Manufacturer: Humanscale; Product reference: Liberty Task Chair (or similar); Adjustability: Heights of seat and armrests</t>
    </r>
  </si>
  <si>
    <r>
      <rPr>
        <b/>
        <u/>
        <sz val="11"/>
        <rFont val="Arial"/>
      </rPr>
      <t xml:space="preserve">Timber Back Board to Fire Extinguishers; See NBS clause P20/290
</t>
    </r>
    <r>
      <rPr>
        <sz val="11"/>
        <rFont val="Arial"/>
      </rPr>
      <t>No details; allow sum</t>
    </r>
  </si>
  <si>
    <t>14/1/1</t>
  </si>
  <si>
    <t>22-004I 10/03/2025 13:08:21 Page : 78</t>
  </si>
  <si>
    <r>
      <rPr>
        <b/>
        <u/>
        <sz val="11"/>
        <rFont val="Arial"/>
      </rPr>
      <t xml:space="preserve">SIGNAGE
N14 General internal signage systems
</t>
    </r>
    <r>
      <rPr>
        <sz val="11"/>
        <rFont val="Arial"/>
      </rPr>
      <t>Specialist Design as N14/20</t>
    </r>
  </si>
  <si>
    <r>
      <rPr>
        <b/>
        <u/>
        <sz val="11"/>
        <rFont val="Arial"/>
      </rPr>
      <t xml:space="preserve">Signage system Type A; See NBS clause N14/110
</t>
    </r>
    <r>
      <rPr>
        <sz val="11"/>
        <rFont val="Arial"/>
      </rPr>
      <t>Description: Secret fix Built-up brushed brass lettering to behind reception desk.
Sign type: Brushed Brass letters
Lettering - Font: To be agreed with Client. 
Size: To coordinate with tiling (currently 250mm tall but TBA)
Thickness: 30mm (or similar approved) 
See Architect drawing number BBA-Z1-00-DR-A-7202 P04</t>
    </r>
  </si>
  <si>
    <r>
      <rPr>
        <b/>
        <u/>
        <sz val="11"/>
        <rFont val="Arial"/>
      </rPr>
      <t xml:space="preserve">N15 Internal fire and safety signage systems
</t>
    </r>
    <r>
      <rPr>
        <sz val="11"/>
        <rFont val="Arial"/>
      </rPr>
      <t>Specialist Design as N15/20</t>
    </r>
  </si>
  <si>
    <r>
      <rPr>
        <b/>
        <u/>
        <sz val="11"/>
        <rFont val="Arial"/>
      </rPr>
      <t xml:space="preserve">Fire and safety signage systems; see NBS clause N15/110
</t>
    </r>
    <r>
      <rPr>
        <sz val="11"/>
        <rFont val="Arial"/>
      </rPr>
      <t>Description: Photo luminescent Fire Safety Signs to BS 5499 Part 1 and 4 and PSPA standard 002 pt 1; Unless specified otherwise all signs to be from one manufacturers range. Inform the contract administrator of proposed manufacturer and range prior to manufacture; Material: Aluminium plate; Other properties: Photoluminescent</t>
    </r>
  </si>
  <si>
    <r>
      <rPr>
        <b/>
        <u/>
        <sz val="11"/>
        <rFont val="Arial"/>
      </rPr>
      <t xml:space="preserve">Safety signage systems; see NBS clause N15/120
</t>
    </r>
    <r>
      <rPr>
        <sz val="11"/>
        <rFont val="Arial"/>
      </rPr>
      <t>Description: Prohibition, Mandatory action, Hazard and Safe Condition safety signs to BS 5499 Part 1; Unless specified otherwise all signs to be from one manufacturers range. Inform the contract administrator of proposed manufacturer and range prior to manufacture;</t>
    </r>
  </si>
  <si>
    <t>S09 no means of escape</t>
  </si>
  <si>
    <t>S10 in the event of fire avoid lift</t>
  </si>
  <si>
    <t>S13 fire door keep shut</t>
  </si>
  <si>
    <t>S14 fire door keep locked</t>
  </si>
  <si>
    <t>S15 automatic fire door keep clear</t>
  </si>
  <si>
    <t>S20 fire escape keep clear</t>
  </si>
  <si>
    <t>S22 fire exit</t>
  </si>
  <si>
    <t>S33 dry riser</t>
  </si>
  <si>
    <t>S34 wet riser</t>
  </si>
  <si>
    <t>S40 refuge keep clear</t>
  </si>
  <si>
    <r>
      <rPr>
        <b/>
        <u/>
        <sz val="11"/>
        <rFont val="Arial"/>
      </rPr>
      <t xml:space="preserve">Internal Signage Systems
Brushed aluminium
</t>
    </r>
    <r>
      <rPr>
        <sz val="11"/>
        <rFont val="Arial"/>
      </rPr>
      <t>Tank room</t>
    </r>
  </si>
  <si>
    <t>Comms room</t>
  </si>
  <si>
    <t>Cleaners store</t>
  </si>
  <si>
    <t>Shower</t>
  </si>
  <si>
    <t>WC</t>
  </si>
  <si>
    <t>ACC WC</t>
  </si>
  <si>
    <t>Reception</t>
  </si>
  <si>
    <t>Lobby</t>
  </si>
  <si>
    <t>Lift 1</t>
  </si>
  <si>
    <t>Lift 2</t>
  </si>
  <si>
    <r>
      <rPr>
        <b/>
        <u/>
        <sz val="11"/>
        <rFont val="Arial"/>
      </rPr>
      <t xml:space="preserve">Completion
</t>
    </r>
    <r>
      <rPr>
        <sz val="11"/>
        <rFont val="Arial"/>
      </rPr>
      <t>Spares; see NBS clause N15/920</t>
    </r>
  </si>
  <si>
    <t>Specialist tools; see NBS clause N15/930</t>
  </si>
  <si>
    <r>
      <rPr>
        <b/>
        <u/>
        <sz val="11"/>
        <rFont val="Arial"/>
      </rPr>
      <t xml:space="preserve">N91 External signage and interpretation
</t>
    </r>
    <r>
      <rPr>
        <sz val="11"/>
        <rFont val="Arial"/>
      </rPr>
      <t>Specialist Design as N91/20 and N91/205</t>
    </r>
  </si>
  <si>
    <r>
      <rPr>
        <b/>
        <u/>
        <sz val="11"/>
        <rFont val="Arial"/>
      </rPr>
      <t xml:space="preserve">Proprietary signage system Type A; see NBS clause N91/110
</t>
    </r>
    <r>
      <rPr>
        <sz val="11"/>
        <rFont val="Arial"/>
      </rPr>
      <t>Large format built-up 3D metal building name to East elevation; Electrical supplies: Allow for illumination (TBA); Finish: PPC to match curtain walling system; 1m tall lettering; Font: To Architect and Client's Approval; 'G A T E W A Y O N E o'; See Architect drawing number DGW1-BBA-Z1-ZZ-DR-A-3001 P10 for details</t>
    </r>
  </si>
  <si>
    <t>DD</t>
  </si>
  <si>
    <r>
      <rPr>
        <b/>
        <u/>
        <sz val="11"/>
        <rFont val="Arial"/>
      </rPr>
      <t xml:space="preserve">Proprietary signage system Type B; see NBS clause N91/110
</t>
    </r>
    <r>
      <rPr>
        <sz val="11"/>
        <rFont val="Arial"/>
      </rPr>
      <t>Built-up 3D lettering to main entrance; Electrical supplies: Allow for illumination (TBA); Finish: PPC to match curtain walling system; 1m tall lettering; Font: To Architect and Client's Approval; 'G A T E W A Y O N E o'; See Architect drawing number DGW1-BBA-Z1-ZZ-DR-A-3002 P11 for details</t>
    </r>
  </si>
  <si>
    <t>EE</t>
  </si>
  <si>
    <r>
      <rPr>
        <b/>
        <u/>
        <sz val="11"/>
        <rFont val="Arial"/>
      </rPr>
      <t xml:space="preserve">Completion
</t>
    </r>
    <r>
      <rPr>
        <sz val="11"/>
        <rFont val="Arial"/>
      </rPr>
      <t>Spare parts; see NBS clause N91/925</t>
    </r>
  </si>
  <si>
    <t>FF</t>
  </si>
  <si>
    <t>Specialist tools; see NBS clause N91/930</t>
  </si>
  <si>
    <t>14/1/2</t>
  </si>
  <si>
    <t>Page Total : 14/1/1</t>
  </si>
  <si>
    <t>Page Total : 14/1/2</t>
  </si>
  <si>
    <t>22-004I 10/03/2025 13:08:21 Page : 80</t>
  </si>
  <si>
    <t>Sanitaryware</t>
  </si>
  <si>
    <t>15</t>
  </si>
  <si>
    <r>
      <rPr>
        <b/>
        <u/>
        <sz val="11"/>
        <rFont val="Arial"/>
      </rPr>
      <t xml:space="preserve">SANITARY INSTALLATIONS
N FURNITURE EQUIPMENT
N13 SANITARY APPLIANCE FITTINGS
</t>
    </r>
    <r>
      <rPr>
        <sz val="11"/>
        <rFont val="Arial"/>
      </rPr>
      <t>Specialist design; see NBS clause N13/20</t>
    </r>
  </si>
  <si>
    <r>
      <rPr>
        <b/>
        <u/>
        <sz val="11"/>
        <rFont val="Arial"/>
      </rPr>
      <t xml:space="preserve">WC pans Type A; See NBS clause N13/300
</t>
    </r>
    <r>
      <rPr>
        <sz val="11"/>
        <rFont val="Arial"/>
      </rPr>
      <t>WCs with concealed cisterns and infrared flushing - to WCs; Ideal Standard; Strada II Wall mounted WC pan (or similar)</t>
    </r>
  </si>
  <si>
    <r>
      <rPr>
        <b/>
        <u/>
        <sz val="11"/>
        <rFont val="Arial"/>
      </rPr>
      <t xml:space="preserve">Unisex accessible WC equipment packages (Document M); See NBS clause N13/311
</t>
    </r>
    <r>
      <rPr>
        <sz val="11"/>
        <rFont val="Arial"/>
      </rPr>
      <t>Manufacturer: Ideal Standard (or similar) Product reference: Doc M Close coupled pack</t>
    </r>
  </si>
  <si>
    <r>
      <rPr>
        <b/>
        <u/>
        <sz val="11"/>
        <rFont val="Arial"/>
      </rPr>
      <t xml:space="preserve">Accessible shower equipment packages Type B ; See NBS clause N13/312
</t>
    </r>
    <r>
      <rPr>
        <sz val="11"/>
        <rFont val="Arial"/>
      </rPr>
      <t>Doc M accessible shower pack with proprietary accessible shower tray and enclosure; Manufacturer: Ideal Standard (or similar approved); Product reference: Doc M shower Room Pack with exposed lever operated electronic shower control unit; Finish/ colour - Seat, folding: to be confirmed by Architect to provide required visual contrast; Back support: to be confirmed by Architect to provide required visual contrast; Handrails and grab bars: to be confirmed by Architect to provide required visual contrast; Shower fittings: Electronic shower control unit, exposed - 6ltrs/min max for BREEAM, Lever Operated for accessibility</t>
    </r>
  </si>
  <si>
    <r>
      <rPr>
        <b/>
        <u/>
        <sz val="11"/>
        <rFont val="Arial"/>
      </rPr>
      <t xml:space="preserve">Floor drain Type A; See NBS clause N13/???
</t>
    </r>
    <r>
      <rPr>
        <sz val="11"/>
        <rFont val="Arial"/>
      </rPr>
      <t>To accessible shower (screed laid to falls). Manufacturer: Alumasc Exterior Products Product reference: Vari-Level Floor Gully &amp; Access Cover - with stainless steel trapped gully body assembly, and stainless steel satin finished non-slip grating.</t>
    </r>
  </si>
  <si>
    <r>
      <rPr>
        <b/>
        <u/>
        <sz val="11"/>
        <rFont val="Arial"/>
      </rPr>
      <t xml:space="preserve">Sinks Type A; See NBS clause N13/331
</t>
    </r>
    <r>
      <rPr>
        <sz val="11"/>
        <rFont val="Arial"/>
      </rPr>
      <t>Cleaners Sinks; Standard: BS EN 14688 &amp; BS EN 31. Manufacturer: Ideal Standard (or similar approved); Product reference: Birch 51cm with bucket grating.</t>
    </r>
  </si>
  <si>
    <r>
      <rPr>
        <b/>
        <u/>
        <sz val="11"/>
        <rFont val="Arial"/>
      </rPr>
      <t xml:space="preserve">Vanity tops with formed washbasins; See NBS clause N13/341
</t>
    </r>
    <r>
      <rPr>
        <sz val="11"/>
        <rFont val="Arial"/>
      </rPr>
      <t>Water supply fittings: Infrared Thermostatic basin mixer taps, one per basin Flow rate (maximum): Restricted to 4L/min or less for BREEAM Manufacturer: Bristan Product reference: Infrared Thermostatic Basin Spout (IRBS2-CP) Operation: Proximity sensor (TAPS ONLY - SEE FF&amp;E BQ FOR VANITY UNITS)</t>
    </r>
  </si>
  <si>
    <r>
      <rPr>
        <b/>
        <u/>
        <sz val="11"/>
        <rFont val="Arial"/>
      </rPr>
      <t xml:space="preserve">Shower thermostatic water supply sets Type A; See NBS clause N13/375
</t>
    </r>
    <r>
      <rPr>
        <sz val="11"/>
        <rFont val="Arial"/>
      </rPr>
      <t>Shower with tray and enclosure; Manufacturer: Ideal Standard; Product reference: Simplicity low-profile (or similar); Size: 1400mm x 900mm (1410 x 910); Material: Acrylic capped ABS lightweight atone resin Shower fittings: Electric Thermostatic shower mixer, exposed with flow limited to 6L/min (9.5kW as advised by MEP Engineer); Manufacturer: Aquas (or similar approved); Product reference: AquaMax Flex manual Eco 9.5kW Matt Black Electric Shower; Finish: Black Matt; Enclosure: 1400 Slider door with Idealclean clear safety glass alcove enclosure</t>
    </r>
  </si>
  <si>
    <r>
      <rPr>
        <b/>
        <u/>
        <sz val="11"/>
        <rFont val="Arial"/>
      </rPr>
      <t xml:space="preserve">Clothes hooks Type A; See NBS clause N13/429
</t>
    </r>
    <r>
      <rPr>
        <sz val="11"/>
        <rFont val="Arial"/>
      </rPr>
      <t>Manufacturer: Ideal Standard (or similar approved); Product reference: IOM Single Robe Hook (or similar approved) Colour: Silk Black (XG) Dimensions: 48 x 45 x 48 mm.</t>
    </r>
  </si>
  <si>
    <r>
      <rPr>
        <b/>
        <u/>
        <sz val="11"/>
        <rFont val="Arial"/>
      </rPr>
      <t xml:space="preserve">Handrails and grab bars; See NBS clause N13/436
</t>
    </r>
    <r>
      <rPr>
        <sz val="11"/>
        <rFont val="Arial"/>
      </rPr>
      <t>To Showers</t>
    </r>
  </si>
  <si>
    <r>
      <rPr>
        <b/>
        <u/>
        <sz val="11"/>
        <rFont val="Arial"/>
      </rPr>
      <t xml:space="preserve">Mirrors; See NBS clause N13/438
</t>
    </r>
    <r>
      <rPr>
        <sz val="11"/>
        <rFont val="Arial"/>
      </rPr>
      <t>450 x 1700 x 6mm thick</t>
    </r>
  </si>
  <si>
    <t>500 x 1500 x 6mm thick</t>
  </si>
  <si>
    <t>700 x 1020 x 6mm thick</t>
  </si>
  <si>
    <t>765 x 1020 x 6mm thick</t>
  </si>
  <si>
    <t>777.5 x 1020 x 6mm thick</t>
  </si>
  <si>
    <r>
      <rPr>
        <b/>
        <u/>
        <sz val="11"/>
        <rFont val="Arial"/>
      </rPr>
      <t xml:space="preserve">Soap dispensers Type A; See NBS clause N13/458
</t>
    </r>
    <r>
      <rPr>
        <sz val="11"/>
        <rFont val="Arial"/>
      </rPr>
      <t>Manufacturer: Ideal Standard (or similar approved); Product reference: IOM soap dispenser wall mounted 800ml stainless steel (or similar approved)</t>
    </r>
  </si>
  <si>
    <r>
      <rPr>
        <b/>
        <u/>
        <sz val="11"/>
        <rFont val="Arial"/>
      </rPr>
      <t xml:space="preserve">Toilet roll holders Type A; See NBS clause N13/462
</t>
    </r>
    <r>
      <rPr>
        <sz val="11"/>
        <rFont val="Arial"/>
      </rPr>
      <t>Toilet roll holder, wall mounted; Manufacturer: Armitage Shanks Product reference: Conca toilet roll holder round (or similar approved); Material/ finish: Chrome</t>
    </r>
  </si>
  <si>
    <r>
      <rPr>
        <b/>
        <u/>
        <sz val="11"/>
        <rFont val="Arial"/>
      </rPr>
      <t xml:space="preserve">Hand dryers; See NBS clause N13/472
</t>
    </r>
    <r>
      <rPr>
        <sz val="11"/>
        <rFont val="Arial"/>
      </rPr>
      <t>Description: High-velocity air dryers - In accordance with the M&amp;E Engineers drawings and specifications. Hand driers to contrast visually with adjacent wall finish; Standard: To BS EN 60335-2-23; Type: High-velocity air; Manufacturer: Dyson (or similar); Operation: Automatic operation, hand drying only</t>
    </r>
  </si>
  <si>
    <r>
      <rPr>
        <b/>
        <u/>
        <sz val="11"/>
        <rFont val="Arial"/>
      </rPr>
      <t xml:space="preserve">Waste bins; See NBS clause N13/???
</t>
    </r>
    <r>
      <rPr>
        <sz val="11"/>
        <rFont val="Arial"/>
      </rPr>
      <t>Waste disposal bin</t>
    </r>
  </si>
  <si>
    <r>
      <rPr>
        <b/>
        <u/>
        <sz val="11"/>
        <rFont val="Arial"/>
      </rPr>
      <t xml:space="preserve">Sealant for pointing; See NBS clause N13/580
</t>
    </r>
    <r>
      <rPr>
        <sz val="11"/>
        <rFont val="Arial"/>
      </rPr>
      <t>silicone sealant to sanitaryware (Approximate quantity)</t>
    </r>
  </si>
  <si>
    <t>15/1/1</t>
  </si>
  <si>
    <t>22-004I 10/03/2025 13:08:21 Page : 81</t>
  </si>
  <si>
    <r>
      <rPr>
        <b/>
        <u/>
        <sz val="11"/>
        <rFont val="Arial"/>
      </rPr>
      <t xml:space="preserve">INTEGRATED PLUMBING SYSTEMS
K LININGS/ SHEATHING/ DRY PARTITIONING
K32 PANEL CUBICLES/ DUCT AND WALL LININGS/ SCREENS
</t>
    </r>
    <r>
      <rPr>
        <sz val="11"/>
        <rFont val="Arial"/>
      </rPr>
      <t>Specialist SC design</t>
    </r>
  </si>
  <si>
    <r>
      <rPr>
        <b/>
        <u/>
        <sz val="11"/>
        <rFont val="Arial"/>
      </rPr>
      <t xml:space="preserve">K32/150; Duct wall lining systems
Manufacturer: Excelsior Panelling Systems Ltd; Product reference: Mariner SGL Duct Panel IPS (Mariner SGL Duct Panel IPS Full Height On Wood Frames); Panels: 12 mm Solid Compact Grade Laminate; Supporting frame - Wall panels: Subframe - 40 x 20 mm ALUMINIUM FRAME SYSTEM, with 12 mm SGL flash gap. Sole Plate 25 mm WBP Plywood (to be packed level to 25 mm AFFL). Panels pre-hung onto subframe using steel hook on clips and nylon push fit clips as required; Flash gap panels: 12 mm Solid Grade Laminate; Colour/ Finish: TBA; Edges: Black core radius and polished edge finish; Other requirements: Standard support systems may not be compatible with all sanitary flushing systems - enquire before placing order once flushing system has been agreed.
</t>
    </r>
    <r>
      <rPr>
        <sz val="11"/>
        <rFont val="Arial"/>
      </rPr>
      <t>provide samples; as NBS Clause K32/210</t>
    </r>
  </si>
  <si>
    <t>provide control samples; as NBS Clause K32/220</t>
  </si>
  <si>
    <r>
      <rPr>
        <b/>
        <u/>
        <sz val="11"/>
        <rFont val="Arial"/>
      </rPr>
      <t xml:space="preserve">Duct wall lining systems
</t>
    </r>
    <r>
      <rPr>
        <sz val="11"/>
        <rFont val="Arial"/>
      </rPr>
      <t>to WCs; 'L' shaped 800mm wide x 500mm deep x 2100mm high; see Architect drawing number DGW1-BBA-Z1-ZZ-DR-A-5003 P03</t>
    </r>
  </si>
  <si>
    <t>to WCs; 'L' shaped 720mm wide x 350mm deep x 2100mm high; see Architect drawing number DGW1-BBA-Z1-ZZ-DR-A-5004 P03</t>
  </si>
  <si>
    <t>to WCs; 'L' shaped 800mm wide x 310mm deep x 2100mm high; see Architect drawing number DGW1-BBA-Z1-ZZ-DR-A-5005 P03</t>
  </si>
  <si>
    <t>to WCs; 'L' shaped 790mm wide x 300mm deep x 2100mm high; see Architect drawing number DGW1-BBA-Z1-ZZ-DR-A-5006 P03</t>
  </si>
  <si>
    <r>
      <rPr>
        <b/>
        <u/>
        <sz val="11"/>
        <rFont val="Arial"/>
      </rPr>
      <t xml:space="preserve">BWIC
</t>
    </r>
    <r>
      <rPr>
        <sz val="11"/>
        <rFont val="Arial"/>
      </rPr>
      <t>holes in solid grade laminate panels for WC's</t>
    </r>
  </si>
  <si>
    <t>holes in solid grade laminate panels for dual flush plates</t>
  </si>
  <si>
    <t>holes in solid grade laminate panels for recessed wash hand basins</t>
  </si>
  <si>
    <r>
      <rPr>
        <b/>
        <u/>
        <sz val="11"/>
        <rFont val="Arial"/>
      </rPr>
      <t xml:space="preserve">Z BUILDING FABRIC REFERENCE SPECIFICATION
Z22 SEALANTS
</t>
    </r>
    <r>
      <rPr>
        <sz val="11"/>
        <rFont val="Arial"/>
      </rPr>
      <t>Waterproof and mould resistant sealant to perimeter of IPS</t>
    </r>
  </si>
  <si>
    <t>15/1/2</t>
  </si>
  <si>
    <t>Page Total : 15/1/1</t>
  </si>
  <si>
    <t>Page Total : 15/1/2</t>
  </si>
  <si>
    <t>22-004I 10/03/2025 13:08:21 Page : 83</t>
  </si>
  <si>
    <t>M&amp;E</t>
  </si>
  <si>
    <t>16</t>
  </si>
  <si>
    <r>
      <rPr>
        <b/>
        <u/>
        <sz val="11"/>
        <rFont val="Arial"/>
      </rPr>
      <t xml:space="preserve">MECHANICAL, ELECTRICAL &amp; LIFT INSTALLATIONS
MECHANICAL INSTALLATIONS
Mechanical Installations
</t>
    </r>
    <r>
      <rPr>
        <sz val="11"/>
        <rFont val="Arial"/>
      </rPr>
      <t>Quotation</t>
    </r>
  </si>
  <si>
    <t>Add for attendances</t>
  </si>
  <si>
    <r>
      <rPr>
        <b/>
        <u/>
        <sz val="11"/>
        <rFont val="Arial"/>
      </rPr>
      <t xml:space="preserve">Builder's Work
</t>
    </r>
    <r>
      <rPr>
        <sz val="11"/>
        <rFont val="Arial"/>
      </rPr>
      <t>Allow for all builder's work in connection with the mechanical services</t>
    </r>
  </si>
  <si>
    <r>
      <rPr>
        <b/>
        <u/>
        <sz val="11"/>
        <rFont val="Arial"/>
      </rPr>
      <t xml:space="preserve">Testing and Commissioning
</t>
    </r>
    <r>
      <rPr>
        <sz val="11"/>
        <rFont val="Arial"/>
      </rPr>
      <t>Test and commission</t>
    </r>
  </si>
  <si>
    <t>Provide as built drawings and documentation for H&amp;S file</t>
  </si>
  <si>
    <t>Mechanical design</t>
  </si>
  <si>
    <t>16/1/1</t>
  </si>
  <si>
    <t>22-004I 10/03/2025 13:08:21 Page : 84</t>
  </si>
  <si>
    <r>
      <rPr>
        <b/>
        <u/>
        <sz val="11"/>
        <rFont val="Arial"/>
      </rPr>
      <t xml:space="preserve">ELECTRICAL INSTALLATIONS
Electrical Installations
</t>
    </r>
    <r>
      <rPr>
        <sz val="11"/>
        <rFont val="Arial"/>
      </rPr>
      <t>Quotation</t>
    </r>
  </si>
  <si>
    <r>
      <rPr>
        <b/>
        <u/>
        <sz val="11"/>
        <rFont val="Arial"/>
      </rPr>
      <t xml:space="preserve">Builder's Work
</t>
    </r>
    <r>
      <rPr>
        <sz val="11"/>
        <rFont val="Arial"/>
      </rPr>
      <t>Allow for all builder's work in connection with the electrical services</t>
    </r>
  </si>
  <si>
    <t>Electrical design</t>
  </si>
  <si>
    <r>
      <rPr>
        <b/>
        <u/>
        <sz val="11"/>
        <rFont val="Arial"/>
      </rPr>
      <t xml:space="preserve">Additional Items
</t>
    </r>
    <r>
      <rPr>
        <sz val="11"/>
        <rFont val="Arial"/>
      </rPr>
      <t>PFC &amp; Harmonic correction</t>
    </r>
  </si>
  <si>
    <t>Additional PV for future - Basd on Architects roof layout</t>
  </si>
  <si>
    <t>Acoustic insulation to Lossnay heat recovery units - Not specified but will need input from acoustician</t>
  </si>
  <si>
    <t>16/1/2</t>
  </si>
  <si>
    <t>22-004I 10/03/2025 13:08:21 Page : 85</t>
  </si>
  <si>
    <r>
      <rPr>
        <b/>
        <u/>
        <sz val="11"/>
        <rFont val="Arial"/>
      </rPr>
      <t xml:space="preserve">X TRANSPORT SYSTEMS
X10 LIFTS
See Architect drawing number DGW1-BBA-Z1-ZZ-DR-A-7620 P01
</t>
    </r>
    <r>
      <rPr>
        <sz val="11"/>
        <rFont val="Arial"/>
      </rPr>
      <t>SC Design</t>
    </r>
  </si>
  <si>
    <t>Lift 1 - Ground floor to fourth floor; total rise 17,175mm; 5nr stops</t>
  </si>
  <si>
    <t>Lift 2 (Evac Lift) - Ground floor to fifth floor; total rise 22,200mm; 6nr stops</t>
  </si>
  <si>
    <r>
      <rPr>
        <b/>
        <u/>
        <sz val="11"/>
        <rFont val="Arial"/>
      </rPr>
      <t xml:space="preserve">BWIC
</t>
    </r>
    <r>
      <rPr>
        <sz val="11"/>
        <rFont val="Arial"/>
      </rPr>
      <t>Lifting beams; to 2nr lifts</t>
    </r>
  </si>
  <si>
    <t>Drill &amp; fix with mechanical anchors</t>
  </si>
  <si>
    <t>Test lifting beams; to 2nr lifts</t>
  </si>
  <si>
    <r>
      <rPr>
        <b/>
        <u/>
        <sz val="11"/>
        <rFont val="Arial"/>
      </rPr>
      <t xml:space="preserve">Return visit
</t>
    </r>
    <r>
      <rPr>
        <sz val="11"/>
        <rFont val="Arial"/>
      </rPr>
      <t>Return visit to commission lifts once permanent power connected</t>
    </r>
  </si>
  <si>
    <r>
      <rPr>
        <b/>
        <u/>
        <sz val="11"/>
        <rFont val="Arial"/>
      </rPr>
      <t xml:space="preserve">Protection
</t>
    </r>
    <r>
      <rPr>
        <sz val="11"/>
        <rFont val="Arial"/>
      </rPr>
      <t>Protect lift cars and doors from damage</t>
    </r>
  </si>
  <si>
    <r>
      <rPr>
        <b/>
        <u/>
        <sz val="11"/>
        <rFont val="Arial"/>
      </rPr>
      <t xml:space="preserve">Maintenance
</t>
    </r>
    <r>
      <rPr>
        <sz val="11"/>
        <rFont val="Arial"/>
      </rPr>
      <t>12 months maintenance period</t>
    </r>
  </si>
  <si>
    <r>
      <rPr>
        <b/>
        <u/>
        <sz val="11"/>
        <rFont val="Arial"/>
      </rPr>
      <t xml:space="preserve">Metal door surrounds; if required
</t>
    </r>
    <r>
      <rPr>
        <sz val="11"/>
        <rFont val="Arial"/>
      </rPr>
      <t>Stainless steel door surround to lift door openings; 1200 x 2200mm</t>
    </r>
  </si>
  <si>
    <t>16/1/3</t>
  </si>
  <si>
    <t>Page Total : 16/1/1</t>
  </si>
  <si>
    <t>Page Total : 16/1/2</t>
  </si>
  <si>
    <t>Page Total : 16/1/3</t>
  </si>
  <si>
    <t>22-004I 10/03/2025 13:08:21 Page : 87</t>
  </si>
  <si>
    <t>Phase 0 - Substructure Drainage</t>
  </si>
  <si>
    <t>17</t>
  </si>
  <si>
    <r>
      <rPr>
        <b/>
        <u/>
        <sz val="11"/>
        <rFont val="Arial"/>
      </rPr>
      <t xml:space="preserve">Q PAVING / PLANTING / FENCING / SITE FURNITURE
Q10 KERBS / EDGINGS / CHANNELS / PAVING ACCESSORIES
Channels
ACO Q-max 225 drainage channels; 50 thick sand blinding; 150 thick C20/25A concrete bed and surround; as drawing DWG1-BJB-Z0-SL-DR-C-00611; include for all excavation and disposal of surplus excavated material off site
</t>
    </r>
    <r>
      <rPr>
        <sz val="11"/>
        <rFont val="Arial"/>
      </rPr>
      <t>straight</t>
    </r>
  </si>
  <si>
    <t>extra for; outlet</t>
  </si>
  <si>
    <t>extra for; stop end</t>
  </si>
  <si>
    <r>
      <rPr>
        <b/>
        <u/>
        <sz val="11"/>
        <rFont val="Arial"/>
      </rPr>
      <t xml:space="preserve">R DISPOSAL SYSTEMS
R12 DRAINAGE BELOW GROUND
Excavating trenches; include for disposal of surplus excavated material off site, earthwork support, consolidation of trench bottom, working space and backfill with selected excavated material
For pipes; not exceeding 200 nominal size
</t>
    </r>
    <r>
      <rPr>
        <sz val="11"/>
        <rFont val="Arial"/>
      </rPr>
      <t>500 average depth</t>
    </r>
  </si>
  <si>
    <t>750 average depth</t>
  </si>
  <si>
    <t>1000 average depth</t>
  </si>
  <si>
    <t>1250 average depth</t>
  </si>
  <si>
    <t>1500 average depth</t>
  </si>
  <si>
    <r>
      <rPr>
        <b/>
        <u/>
        <sz val="11"/>
        <rFont val="Arial"/>
      </rPr>
      <t xml:space="preserve">For pipes; 225 nominal size
</t>
    </r>
    <r>
      <rPr>
        <sz val="11"/>
        <rFont val="Arial"/>
      </rPr>
      <t>1000 average depth</t>
    </r>
  </si>
  <si>
    <t>17/1/1</t>
  </si>
  <si>
    <t>22-004I 10/03/2025 13:08:21 Page : 88</t>
  </si>
  <si>
    <r>
      <rPr>
        <b/>
        <u/>
        <sz val="11"/>
        <rFont val="Arial"/>
      </rPr>
      <t xml:space="preserve">Excavating trenches; include for disposal of surplus excavated material off site, earthwork support, consolidation of trench bottom, working space and backfill with selected excavated material
For pipes; 300 nominal size
</t>
    </r>
    <r>
      <rPr>
        <sz val="11"/>
        <rFont val="Arial"/>
      </rPr>
      <t>1500 average depth</t>
    </r>
  </si>
  <si>
    <t>1750 average depth</t>
  </si>
  <si>
    <r>
      <rPr>
        <b/>
        <u/>
        <sz val="11"/>
        <rFont val="Arial"/>
      </rPr>
      <t xml:space="preserve">Beds and surrounds
Granular material; Type S1; obtained off site; as drawing DGW1-BJB-Z0-SL-DR-C-00610
</t>
    </r>
    <r>
      <rPr>
        <sz val="11"/>
        <rFont val="Arial"/>
      </rPr>
      <t>450 x 150 bed; surround 150 thick; for pipe 150 nominal size</t>
    </r>
  </si>
  <si>
    <t>525 x 150 bed; surround 150 thick; for pipe 225 nominal size</t>
  </si>
  <si>
    <t>600 x 150 bed; surround 150 thick; for pipe 300 nominal size</t>
  </si>
  <si>
    <r>
      <rPr>
        <b/>
        <u/>
        <sz val="11"/>
        <rFont val="Arial"/>
      </rPr>
      <t xml:space="preserve">Plain insitu concrete; grade RC20/25; include for movement joints at pipe joints; as drawing DGW1-BJB-Z0-SL-DR-C-00610
</t>
    </r>
    <r>
      <rPr>
        <sz val="11"/>
        <rFont val="Arial"/>
      </rPr>
      <t>400 x 150 bed; surround 150 thick; for pipe 100 nominal size</t>
    </r>
  </si>
  <si>
    <t>450 x 150 bed; surround 150 thick; for pipe 150 nominal size</t>
  </si>
  <si>
    <r>
      <rPr>
        <b/>
        <u/>
        <sz val="11"/>
        <rFont val="Arial"/>
      </rPr>
      <t xml:space="preserve">Naylor Densleeve flexibly jointed vitrified clay pipework
Pipework laid in trenches
</t>
    </r>
    <r>
      <rPr>
        <sz val="11"/>
        <rFont val="Arial"/>
      </rPr>
      <t>100 nominal size</t>
    </r>
  </si>
  <si>
    <t>extra for; bend</t>
  </si>
  <si>
    <t>17/1/2</t>
  </si>
  <si>
    <t>22-004I 10/03/2025 13:08:21 Page : 89</t>
  </si>
  <si>
    <r>
      <rPr>
        <b/>
        <u/>
        <sz val="11"/>
        <rFont val="Arial"/>
      </rPr>
      <t xml:space="preserve">Naylor Densleeve flexibly jointed vitrified clay pipework
Pipework laid in trenches
100 nominal size
</t>
    </r>
    <r>
      <rPr>
        <sz val="11"/>
        <rFont val="Arial"/>
      </rPr>
      <t>extra for; rest bend; include for vertical pipework</t>
    </r>
  </si>
  <si>
    <t>extra for; junction 100 to 100 diameter</t>
  </si>
  <si>
    <t>extra for; floor gully</t>
  </si>
  <si>
    <t>150 nominal size</t>
  </si>
  <si>
    <t>extra for; rest bend; include for vertical pipework</t>
  </si>
  <si>
    <t>extra for; junction 150 to 100 diameter</t>
  </si>
  <si>
    <t>225 nominal size</t>
  </si>
  <si>
    <t>300 nominal size</t>
  </si>
  <si>
    <t>extra for; junction 300 to 150 diameter</t>
  </si>
  <si>
    <r>
      <rPr>
        <b/>
        <u/>
        <sz val="11"/>
        <rFont val="Arial"/>
      </rPr>
      <t xml:space="preserve">Pipe accessories
600 long rocker pipes; built in flexible joints at both ends
</t>
    </r>
    <r>
      <rPr>
        <sz val="11"/>
        <rFont val="Arial"/>
      </rPr>
      <t>for pipe 100 nominal size</t>
    </r>
  </si>
  <si>
    <t>for pipe 150 nominal size</t>
  </si>
  <si>
    <t>for pipe 225 nominal size</t>
  </si>
  <si>
    <t>for pipe 300 nominal size</t>
  </si>
  <si>
    <t>17/1/3</t>
  </si>
  <si>
    <t>22-004I 10/03/2025 13:08:21 Page : 90</t>
  </si>
  <si>
    <r>
      <rPr>
        <b/>
        <u/>
        <sz val="11"/>
        <rFont val="Arial"/>
      </rPr>
      <t xml:space="preserve">Manholes
Precast concrete manhole type 2; sections and cover slab bedded with mortar, plastomeric or elastomeric seal; high strength concrete topping; GEN3 insitu concrete base and surround; minimum 2 courses of class B engineering bricks or precast concrete cover frame seating rings; mortar bedding and haunching to cover and frame; as drawing DGW1-BJB-Z0-SL-DR-C-00610; include for all excavation, disposal of surplus excavated material off site, earthwork support and backfill
</t>
    </r>
    <r>
      <rPr>
        <sz val="11"/>
        <rFont val="Arial"/>
      </rPr>
      <t>900 diameter, 1500 average depth; cover class D400</t>
    </r>
  </si>
  <si>
    <t>1200 diameter, 1500 average depth; cover class D400</t>
  </si>
  <si>
    <t>1200 diameter, 1750 average depth; cover class D400</t>
  </si>
  <si>
    <t>1200 diameter, 2000 average depth; cover class D400; including hydrobrake, 40 l/s</t>
  </si>
  <si>
    <t>1500 diameter, 1500 average depth; cover class D400; vented manhole with surge chamber</t>
  </si>
  <si>
    <r>
      <rPr>
        <b/>
        <u/>
        <sz val="11"/>
        <rFont val="Arial"/>
      </rPr>
      <t xml:space="preserve">Inspection chambers
Polypropylene inspection chambers; OSMA/WAVIN universal 450; as drawing DGW1-BJB-Z0-SL-DR-C-0602; include for all excavation, disposal of surplus excavated material off site, earthwork support and backfill
</t>
    </r>
    <r>
      <rPr>
        <sz val="11"/>
        <rFont val="Arial"/>
      </rPr>
      <t>450 diameter, 750 average depth; cover class B125</t>
    </r>
  </si>
  <si>
    <t>450 diameter, 1000 average depth; cover class B125</t>
  </si>
  <si>
    <t>450 diameter, 1250 average depth; cover class B125</t>
  </si>
  <si>
    <t>17/1/4</t>
  </si>
  <si>
    <t>22-004I 10/03/2025 13:08:21 Page : 91</t>
  </si>
  <si>
    <r>
      <rPr>
        <b/>
        <u/>
        <sz val="11"/>
        <rFont val="Arial"/>
      </rPr>
      <t xml:space="preserve">Attenuation
ACO Stormbrixx HD modular geocellular attenuation tank; C28/35 concrete cover slab to be 250 thick with 2 no. layers of A393 mesh; as drawing DGW1-BJB-Z0-SL-DR-C-0602; include for all excavation, disposal of surplus excavated material off site, earthwork support and backfill
</t>
    </r>
    <r>
      <rPr>
        <sz val="11"/>
        <rFont val="Arial"/>
      </rPr>
      <t>10800 x 4800 x 610 deep; 1500 average depth</t>
    </r>
  </si>
  <si>
    <r>
      <rPr>
        <b/>
        <u/>
        <sz val="11"/>
        <rFont val="Arial"/>
      </rPr>
      <t xml:space="preserve">Work to existing
Excavate and expose existing combined water sewer; connect into new manhole; include for all excavation, disposal of surplus excavated material off site, earthwork support and backfill
</t>
    </r>
    <r>
      <rPr>
        <sz val="11"/>
        <rFont val="Arial"/>
      </rPr>
      <t>1750 average depth</t>
    </r>
  </si>
  <si>
    <t>2000 average depth</t>
  </si>
  <si>
    <r>
      <rPr>
        <b/>
        <u/>
        <sz val="11"/>
        <rFont val="Arial"/>
      </rPr>
      <t xml:space="preserve">Testing and commissioning
Drainage system
</t>
    </r>
    <r>
      <rPr>
        <sz val="11"/>
        <rFont val="Arial"/>
      </rPr>
      <t>in stages; by water</t>
    </r>
  </si>
  <si>
    <t>on completion; by water</t>
  </si>
  <si>
    <r>
      <rPr>
        <b/>
        <u/>
        <sz val="11"/>
        <rFont val="Arial"/>
      </rPr>
      <t xml:space="preserve">Manholes
</t>
    </r>
    <r>
      <rPr>
        <sz val="11"/>
        <rFont val="Arial"/>
      </rPr>
      <t>in stages; by water</t>
    </r>
  </si>
  <si>
    <r>
      <rPr>
        <b/>
        <u/>
        <sz val="11"/>
        <rFont val="Arial"/>
      </rPr>
      <t xml:space="preserve">Inspection chambers
</t>
    </r>
    <r>
      <rPr>
        <sz val="11"/>
        <rFont val="Arial"/>
      </rPr>
      <t>in stages; by water</t>
    </r>
  </si>
  <si>
    <r>
      <rPr>
        <b/>
        <u/>
        <sz val="11"/>
        <rFont val="Arial"/>
      </rPr>
      <t xml:space="preserve">Attenuation
</t>
    </r>
    <r>
      <rPr>
        <sz val="11"/>
        <rFont val="Arial"/>
      </rPr>
      <t>in stages; by water</t>
    </r>
  </si>
  <si>
    <t>17/1/5</t>
  </si>
  <si>
    <t>22-004I 10/03/2025 13:08:21 Page : 92</t>
  </si>
  <si>
    <r>
      <rPr>
        <b/>
        <u/>
        <sz val="11"/>
        <rFont val="Arial"/>
      </rPr>
      <t xml:space="preserve">Testing and commissioning
CCTV inspection
</t>
    </r>
    <r>
      <rPr>
        <sz val="11"/>
        <rFont val="Arial"/>
      </rPr>
      <t>on completion</t>
    </r>
  </si>
  <si>
    <r>
      <rPr>
        <b/>
        <u/>
        <sz val="11"/>
        <rFont val="Arial"/>
      </rPr>
      <t xml:space="preserve">Cleaning
Drainage system
</t>
    </r>
    <r>
      <rPr>
        <sz val="11"/>
        <rFont val="Arial"/>
      </rPr>
      <t>where required</t>
    </r>
  </si>
  <si>
    <t>17/1/6</t>
  </si>
  <si>
    <t>Page Total : 17/1/1</t>
  </si>
  <si>
    <t>Page Total : 17/1/2</t>
  </si>
  <si>
    <t>Page Total : 17/1/3</t>
  </si>
  <si>
    <t>Page Total : 17/1/4</t>
  </si>
  <si>
    <t>Page Total : 17/1/5</t>
  </si>
  <si>
    <t>Page Total : 17/1/6</t>
  </si>
  <si>
    <t>22-004I 10/03/2025 13:08:21 Page : 94</t>
  </si>
  <si>
    <t>Phase 1 - Cut &amp; Fill</t>
  </si>
  <si>
    <t>18</t>
  </si>
  <si>
    <r>
      <rPr>
        <b/>
        <u/>
        <sz val="11"/>
        <rFont val="Arial"/>
      </rPr>
      <t xml:space="preserve">D GROUNDWORK
D20 EXCAVATING AND FILLING
Excavating
To reduce levels
</t>
    </r>
    <r>
      <rPr>
        <sz val="11"/>
        <rFont val="Arial"/>
      </rPr>
      <t>1 m maximum depth</t>
    </r>
  </si>
  <si>
    <r>
      <rPr>
        <b/>
        <u/>
        <sz val="11"/>
        <rFont val="Arial"/>
      </rPr>
      <t xml:space="preserve">Items extra over any types of excavation irrespective of depth
</t>
    </r>
    <r>
      <rPr>
        <sz val="11"/>
        <rFont val="Arial"/>
      </rPr>
      <t>next to existing services</t>
    </r>
  </si>
  <si>
    <t>around existing services crossing excavation</t>
  </si>
  <si>
    <r>
      <rPr>
        <b/>
        <u/>
        <sz val="11"/>
        <rFont val="Arial"/>
      </rPr>
      <t xml:space="preserve">Breaking out existing hard pavings
Break out existing tarmac/ concrete flags or block paving
</t>
    </r>
    <r>
      <rPr>
        <sz val="11"/>
        <rFont val="Arial"/>
      </rPr>
      <t>depth to be confirmed on site</t>
    </r>
  </si>
  <si>
    <r>
      <rPr>
        <b/>
        <u/>
        <sz val="11"/>
        <rFont val="Arial"/>
      </rPr>
      <t xml:space="preserve">Filling to make up levels; to form mounds
Average thickness exceeding 0.25 m
</t>
    </r>
    <r>
      <rPr>
        <sz val="11"/>
        <rFont val="Arial"/>
      </rPr>
      <t>obtained off site; sub-soil or selected excavated material</t>
    </r>
  </si>
  <si>
    <t>18/1/1</t>
  </si>
  <si>
    <t>22-004I 10/03/2025 13:08:21 Page : 95</t>
  </si>
  <si>
    <r>
      <rPr>
        <b/>
        <u/>
        <sz val="11"/>
        <rFont val="Arial"/>
      </rPr>
      <t xml:space="preserve">Surface treatments
Compacting
</t>
    </r>
    <r>
      <rPr>
        <sz val="11"/>
        <rFont val="Arial"/>
      </rPr>
      <t>bottom of excavations</t>
    </r>
  </si>
  <si>
    <t>18/1/2</t>
  </si>
  <si>
    <t>Page Total : 18/1/1</t>
  </si>
  <si>
    <t>Page Total : 18/1/2</t>
  </si>
  <si>
    <t>22-004I 10/03/2025 13:08:21 Page : 97</t>
  </si>
  <si>
    <t>Phase 1 - External Works</t>
  </si>
  <si>
    <t>19</t>
  </si>
  <si>
    <r>
      <rPr>
        <b/>
        <u/>
        <sz val="11"/>
        <rFont val="Arial"/>
      </rPr>
      <t xml:space="preserve">D GROUNDWORK
D20 EXCAVATING AND FILLING
Excavating
Trenches exceeding 300 wide
</t>
    </r>
    <r>
      <rPr>
        <sz val="11"/>
        <rFont val="Arial"/>
      </rPr>
      <t>1 m maximum depth</t>
    </r>
  </si>
  <si>
    <t>next to existing services crossing excavations</t>
  </si>
  <si>
    <r>
      <rPr>
        <b/>
        <u/>
        <sz val="11"/>
        <rFont val="Arial"/>
      </rPr>
      <t xml:space="preserve">Working space allowance to excavations
Trenches exceeding 300 wide
</t>
    </r>
    <r>
      <rPr>
        <sz val="11"/>
        <rFont val="Arial"/>
      </rPr>
      <t>1 m maximum depth</t>
    </r>
  </si>
  <si>
    <r>
      <rPr>
        <b/>
        <u/>
        <sz val="11"/>
        <rFont val="Arial"/>
      </rPr>
      <t xml:space="preserve">Earthwork support
1 m maximum depth
</t>
    </r>
    <r>
      <rPr>
        <sz val="11"/>
        <rFont val="Arial"/>
      </rPr>
      <t>distance between opposing faces not exceeding 2 m</t>
    </r>
  </si>
  <si>
    <r>
      <rPr>
        <b/>
        <u/>
        <sz val="11"/>
        <rFont val="Arial"/>
      </rPr>
      <t xml:space="preserve">Filling to make up levels
Average thickness not exceeding 0.25 m
</t>
    </r>
    <r>
      <rPr>
        <sz val="11"/>
        <rFont val="Arial"/>
      </rPr>
      <t>obtained off site; topsoil</t>
    </r>
  </si>
  <si>
    <t>19/1/1</t>
  </si>
  <si>
    <t>22-004I 10/03/2025 13:08:21 Page : 98</t>
  </si>
  <si>
    <r>
      <rPr>
        <b/>
        <u/>
        <sz val="11"/>
        <rFont val="Arial"/>
      </rPr>
      <t xml:space="preserve">Filling to make up levels
Average thickness exceeding 0.25 m
</t>
    </r>
    <r>
      <rPr>
        <sz val="11"/>
        <rFont val="Arial"/>
      </rPr>
      <t>obtained off site; topsoil</t>
    </r>
  </si>
  <si>
    <r>
      <rPr>
        <b/>
        <u/>
        <sz val="11"/>
        <rFont val="Arial"/>
      </rPr>
      <t xml:space="preserve">Preparing subsoil for topsoil
</t>
    </r>
    <r>
      <rPr>
        <sz val="11"/>
        <rFont val="Arial"/>
      </rPr>
      <t>generally</t>
    </r>
  </si>
  <si>
    <r>
      <rPr>
        <b/>
        <u/>
        <sz val="11"/>
        <rFont val="Arial"/>
      </rPr>
      <t xml:space="preserve">E IN SITU CONCRETE / LARGE PRECAST CONCRETE
E10 MIXING / CASTING / CURING IN-SITU CONCRETE
Plain insitu concrete; GEN 3 mix; 20 aggregate
Beds; as blinding
</t>
    </r>
    <r>
      <rPr>
        <sz val="11"/>
        <rFont val="Arial"/>
      </rPr>
      <t>not exceeding 150 thick</t>
    </r>
  </si>
  <si>
    <r>
      <rPr>
        <b/>
        <u/>
        <sz val="11"/>
        <rFont val="Arial"/>
      </rPr>
      <t xml:space="preserve">Reinforced insitu concrete; RC32/40 design mix; 20 aggregate; DC-3 classifcation
Foundations
</t>
    </r>
    <r>
      <rPr>
        <sz val="11"/>
        <rFont val="Arial"/>
      </rPr>
      <t>generally; filled into formwork</t>
    </r>
  </si>
  <si>
    <r>
      <rPr>
        <b/>
        <u/>
        <sz val="11"/>
        <rFont val="Arial"/>
      </rPr>
      <t xml:space="preserve">E20 FORMWORK FOR IN-SITU CONCRETE
Sides of foundations
Plain, vertical
</t>
    </r>
    <r>
      <rPr>
        <sz val="11"/>
        <rFont val="Arial"/>
      </rPr>
      <t>500 to 1 m high</t>
    </r>
  </si>
  <si>
    <t>19/1/2</t>
  </si>
  <si>
    <t>22-004I 10/03/2025 13:08:21 Page : 99</t>
  </si>
  <si>
    <r>
      <rPr>
        <b/>
        <u/>
        <sz val="11"/>
        <rFont val="Arial"/>
      </rPr>
      <t xml:space="preserve">E30 REINFORCEMENT FOR IN-SITU CONCRETE
High yield reinforcement; include laps, tying wires and distance blocks
Bars
</t>
    </r>
    <r>
      <rPr>
        <sz val="11"/>
        <rFont val="Arial"/>
      </rPr>
      <t>bollard foundations; allow 150 kg/m³</t>
    </r>
  </si>
  <si>
    <r>
      <rPr>
        <b/>
        <u/>
        <sz val="11"/>
        <rFont val="Arial"/>
      </rPr>
      <t xml:space="preserve">Q PAVING / PLANTING / FENCING / SITE FURNITURE
Q10 KERBS / EDGINGS / CHANNELS / PAVING ACCESSORIES
Precast concrete kerbs by Marshalls PLC, product reference: precast concrete/ conservation kerbs; allow for all necessary excavation, disposal, consolidation of trench bottom; ST4 concrete bed and haunch; backfill with selected excavated material; make allowance for R10/R12 dowel bars, 220 long where required
Kerbs
</t>
    </r>
    <r>
      <rPr>
        <sz val="11"/>
        <rFont val="Arial"/>
      </rPr>
      <t>size 915 x 300 x 200 deep; K6</t>
    </r>
  </si>
  <si>
    <t>size 915 x 125 x 150-250; transition kerb</t>
  </si>
  <si>
    <r>
      <rPr>
        <b/>
        <u/>
        <sz val="11"/>
        <rFont val="Arial"/>
      </rPr>
      <t xml:space="preserve">Edgings
</t>
    </r>
    <r>
      <rPr>
        <sz val="11"/>
        <rFont val="Arial"/>
      </rPr>
      <t>size 915 x 50 x 150; conservation edging; E1</t>
    </r>
  </si>
  <si>
    <r>
      <rPr>
        <b/>
        <u/>
        <sz val="11"/>
        <rFont val="Arial"/>
      </rPr>
      <t xml:space="preserve">Q20 GRANULAR SUB BASES TO ROADS / PAVINGS
Filling to make up levels
Average thickness not exceeding 0.25 m
</t>
    </r>
    <r>
      <rPr>
        <sz val="11"/>
        <rFont val="Arial"/>
      </rPr>
      <t>obtained off site; dry sand blinding</t>
    </r>
  </si>
  <si>
    <t>obtained off site; type 1 hardcore</t>
  </si>
  <si>
    <t>19/1/3</t>
  </si>
  <si>
    <t>22-004I 10/03/2025 13:08:21 Page : 100</t>
  </si>
  <si>
    <r>
      <rPr>
        <b/>
        <u/>
        <sz val="11"/>
        <rFont val="Arial"/>
      </rPr>
      <t xml:space="preserve">Surface treatments
Compacting
</t>
    </r>
    <r>
      <rPr>
        <sz val="11"/>
        <rFont val="Arial"/>
      </rPr>
      <t>filling; dry sand blinding</t>
    </r>
  </si>
  <si>
    <t>filling; type 1 hardcore</t>
  </si>
  <si>
    <t>bottom of excavations</t>
  </si>
  <si>
    <r>
      <rPr>
        <b/>
        <u/>
        <sz val="11"/>
        <rFont val="Arial"/>
      </rPr>
      <t xml:space="preserve">Polypropylene geogrid, Stratec G20PP or similar
</t>
    </r>
    <r>
      <rPr>
        <sz val="11"/>
        <rFont val="Arial"/>
      </rPr>
      <t>width exceeding 300</t>
    </r>
  </si>
  <si>
    <r>
      <rPr>
        <b/>
        <u/>
        <sz val="11"/>
        <rFont val="Arial"/>
      </rPr>
      <t xml:space="preserve">Q22 COATED MACADAM / ASPHALT ROADS / PAVINGS
Proposed buff coloured asphalt carriageway construction construction consisting of 30 thick buff coloured SMA10 tarmac Ulticolour or similar surface course, 60 thick AC20 bin 100/150 binder course and 110 thick AC32 base 100/150 base course; as drawing XX-DR-D-00301 P01; overall thickness: 200 thick
Roads
</t>
    </r>
    <r>
      <rPr>
        <sz val="11"/>
        <rFont val="Arial"/>
      </rPr>
      <t>level and to falls only</t>
    </r>
  </si>
  <si>
    <r>
      <rPr>
        <b/>
        <u/>
        <sz val="11"/>
        <rFont val="Arial"/>
      </rPr>
      <t xml:space="preserve">Roads; less than 1.00 m; infilled beneath with ST5 concrete
</t>
    </r>
    <r>
      <rPr>
        <sz val="11"/>
        <rFont val="Arial"/>
      </rPr>
      <t>level and to falls only</t>
    </r>
  </si>
  <si>
    <r>
      <rPr>
        <b/>
        <u/>
        <sz val="11"/>
        <rFont val="Arial"/>
      </rPr>
      <t xml:space="preserve">Extra for
</t>
    </r>
    <r>
      <rPr>
        <sz val="11"/>
        <rFont val="Arial"/>
      </rPr>
      <t>tie in detail; 900/600/300 wide</t>
    </r>
  </si>
  <si>
    <r>
      <rPr>
        <b/>
        <u/>
        <sz val="11"/>
        <rFont val="Arial"/>
      </rPr>
      <t xml:space="preserve">Granite paving sub-base consisting of 100 thick AC20 bin 100/150 binder course; as drawing XX-DR-D-00301; overall thickness: 100 thick
Pavings; sub-base
</t>
    </r>
    <r>
      <rPr>
        <sz val="11"/>
        <rFont val="Arial"/>
      </rPr>
      <t>level and to falls only</t>
    </r>
  </si>
  <si>
    <t>19/1/4</t>
  </si>
  <si>
    <t>22-004I 10/03/2025 13:08:21 Page : 101</t>
  </si>
  <si>
    <r>
      <rPr>
        <b/>
        <u/>
        <sz val="11"/>
        <rFont val="Arial"/>
      </rPr>
      <t xml:space="preserve">Q25 SLAB / BRICK / BLOCK / SETT / COBBLE PAVINGS
Flag paved area by Hardscape, product reference: granite setts, finish; magna, sizes: random sizes x 80 thick, colour: buff, granite sett/ blocks to public realm; include for 40 thick Steintec 2 part tuff bond bedding, Steintec tuff bond primer and Steintec tuff bond jointing mortar
Pavings
</t>
    </r>
    <r>
      <rPr>
        <sz val="11"/>
        <rFont val="Arial"/>
      </rPr>
      <t>level and to falls only</t>
    </r>
  </si>
  <si>
    <r>
      <rPr>
        <b/>
        <u/>
        <sz val="11"/>
        <rFont val="Arial"/>
      </rPr>
      <t xml:space="preserve">Concrete pavers by Hardscape, product reference: Kellen breccia, colour: giallo, size to be confirmed x 80 thick; bond 1
Pavings
</t>
    </r>
    <r>
      <rPr>
        <sz val="11"/>
        <rFont val="Arial"/>
      </rPr>
      <t>level and to falls only</t>
    </r>
  </si>
  <si>
    <r>
      <rPr>
        <b/>
        <u/>
        <sz val="11"/>
        <rFont val="Arial"/>
      </rPr>
      <t xml:space="preserve">Q26 SPECIAL SURFACINGS / PAVINGS FOR SPORT / GENERAL AMENITY
Thermoplastic yellow line markings
Line marking
</t>
    </r>
    <r>
      <rPr>
        <sz val="11"/>
        <rFont val="Arial"/>
      </rPr>
      <t>100 wide; disabled hatching</t>
    </r>
  </si>
  <si>
    <r>
      <rPr>
        <b/>
        <u/>
        <sz val="11"/>
        <rFont val="Arial"/>
      </rPr>
      <t xml:space="preserve">Extra for
</t>
    </r>
    <r>
      <rPr>
        <sz val="11"/>
        <rFont val="Arial"/>
      </rPr>
      <t>disabled symbol</t>
    </r>
  </si>
  <si>
    <r>
      <rPr>
        <b/>
        <u/>
        <sz val="11"/>
        <rFont val="Arial"/>
      </rPr>
      <t xml:space="preserve">Q30 SEEDING / TURFING
Cultivating
Ground
</t>
    </r>
    <r>
      <rPr>
        <sz val="11"/>
        <rFont val="Arial"/>
      </rPr>
      <t>200 deep</t>
    </r>
  </si>
  <si>
    <t>19/1/5</t>
  </si>
  <si>
    <t>22-004I 10/03/2025 13:08:21 Page : 102</t>
  </si>
  <si>
    <r>
      <rPr>
        <b/>
        <u/>
        <sz val="11"/>
        <rFont val="Arial"/>
      </rPr>
      <t xml:space="preserve">Surface applications; applying herbicides and fertilisers
General surfaces
</t>
    </r>
    <r>
      <rPr>
        <sz val="11"/>
        <rFont val="Arial"/>
      </rPr>
      <t>generally</t>
    </r>
  </si>
  <si>
    <r>
      <rPr>
        <b/>
        <u/>
        <sz val="11"/>
        <rFont val="Arial"/>
      </rPr>
      <t xml:space="preserve">Turfing
Amenity grass turf; by Turf Growers Association
</t>
    </r>
    <r>
      <rPr>
        <sz val="11"/>
        <rFont val="Arial"/>
      </rPr>
      <t>as drawing ZZ-SH-L-001 P02</t>
    </r>
  </si>
  <si>
    <r>
      <rPr>
        <b/>
        <u/>
        <sz val="11"/>
        <rFont val="Arial"/>
      </rPr>
      <t xml:space="preserve">Maintenance
Allow 12 months maintenance
</t>
    </r>
    <r>
      <rPr>
        <sz val="11"/>
        <rFont val="Arial"/>
      </rPr>
      <t>generally</t>
    </r>
  </si>
  <si>
    <r>
      <rPr>
        <b/>
        <u/>
        <sz val="11"/>
        <rFont val="Arial"/>
      </rPr>
      <t xml:space="preserve">Q31 EXTERNAL PLANTING
Cultivating
Ground
</t>
    </r>
    <r>
      <rPr>
        <sz val="11"/>
        <rFont val="Arial"/>
      </rPr>
      <t>150 deep</t>
    </r>
  </si>
  <si>
    <r>
      <rPr>
        <b/>
        <u/>
        <sz val="11"/>
        <rFont val="Arial"/>
      </rPr>
      <t xml:space="preserve">Bottom of tree pits
</t>
    </r>
    <r>
      <rPr>
        <sz val="11"/>
        <rFont val="Arial"/>
      </rPr>
      <t>150 deep</t>
    </r>
  </si>
  <si>
    <r>
      <rPr>
        <b/>
        <u/>
        <sz val="11"/>
        <rFont val="Arial"/>
      </rPr>
      <t xml:space="preserve">Soft landscaping
Screening mix planting
</t>
    </r>
    <r>
      <rPr>
        <sz val="11"/>
        <rFont val="Arial"/>
      </rPr>
      <t>as drawing ZZ-SH-L-001 P02</t>
    </r>
  </si>
  <si>
    <r>
      <rPr>
        <b/>
        <u/>
        <sz val="11"/>
        <rFont val="Arial"/>
      </rPr>
      <t xml:space="preserve">Ornamental mix planting
</t>
    </r>
    <r>
      <rPr>
        <sz val="11"/>
        <rFont val="Arial"/>
      </rPr>
      <t>as drawing ZZ-SH-L-001 P02</t>
    </r>
  </si>
  <si>
    <t>19/1/6</t>
  </si>
  <si>
    <t>22-004I 10/03/2025 13:08:21 Page : 103</t>
  </si>
  <si>
    <r>
      <rPr>
        <b/>
        <u/>
        <sz val="11"/>
        <rFont val="Arial"/>
      </rPr>
      <t xml:space="preserve">Trees
Individually planted trees species
</t>
    </r>
    <r>
      <rPr>
        <sz val="11"/>
        <rFont val="Arial"/>
      </rPr>
      <t>as drawing ZZ-SH-L-001 P02</t>
    </r>
  </si>
  <si>
    <r>
      <rPr>
        <b/>
        <u/>
        <sz val="11"/>
        <rFont val="Arial"/>
      </rPr>
      <t xml:space="preserve">Mulching after planting; 50 thick bark mulch medium grade
Mulching
</t>
    </r>
    <r>
      <rPr>
        <sz val="11"/>
        <rFont val="Arial"/>
      </rPr>
      <t>50 thick</t>
    </r>
  </si>
  <si>
    <r>
      <rPr>
        <b/>
        <u/>
        <sz val="11"/>
        <rFont val="Arial"/>
      </rPr>
      <t xml:space="preserve">Around individual plants; trees
</t>
    </r>
    <r>
      <rPr>
        <sz val="11"/>
        <rFont val="Arial"/>
      </rPr>
      <t>50 thick; radius of stem</t>
    </r>
  </si>
  <si>
    <r>
      <rPr>
        <b/>
        <u/>
        <sz val="11"/>
        <rFont val="Arial"/>
      </rPr>
      <t xml:space="preserve">Accessories
Allow for all tree pit accessories; as drawing ZZ-SL-DR-L-7003 P03
</t>
    </r>
    <r>
      <rPr>
        <sz val="11"/>
        <rFont val="Arial"/>
      </rPr>
      <t>generally</t>
    </r>
  </si>
  <si>
    <r>
      <rPr>
        <b/>
        <u/>
        <sz val="11"/>
        <rFont val="Arial"/>
      </rPr>
      <t xml:space="preserve">Maintenance
Allow for 12 months maintenance
</t>
    </r>
    <r>
      <rPr>
        <sz val="11"/>
        <rFont val="Arial"/>
      </rPr>
      <t>generally</t>
    </r>
  </si>
  <si>
    <r>
      <rPr>
        <b/>
        <u/>
        <sz val="11"/>
        <rFont val="Arial"/>
      </rPr>
      <t xml:space="preserve">Q50 SITE / STREET FURNITURE / EQUIPMENT
Fixtures, furnishings and equipment not associated with services
Bollards; by Townscape, product reference: CT40 N2/02 mild steel counter terror bollard, galvanised and polyester powder coated, RAL 7026
</t>
    </r>
    <r>
      <rPr>
        <sz val="11"/>
        <rFont val="Arial"/>
      </rPr>
      <t>1000 high</t>
    </r>
  </si>
  <si>
    <r>
      <rPr>
        <b/>
        <u/>
        <sz val="11"/>
        <rFont val="Arial"/>
      </rPr>
      <t xml:space="preserve">RS001 sign and post to highways details; 76.1 x 3.2 CHS with 661A S20-2 sign; include concrete root footing
</t>
    </r>
    <r>
      <rPr>
        <sz val="11"/>
        <rFont val="Arial"/>
      </rPr>
      <t>2100 high</t>
    </r>
  </si>
  <si>
    <t>19/1/7</t>
  </si>
  <si>
    <t>Page Total : 19/1/1</t>
  </si>
  <si>
    <t>Page Total : 19/1/2</t>
  </si>
  <si>
    <t>Page Total : 19/1/3</t>
  </si>
  <si>
    <t>Page Total : 19/1/4</t>
  </si>
  <si>
    <t>Page Total : 19/1/5</t>
  </si>
  <si>
    <t>Page Total : 19/1/6</t>
  </si>
  <si>
    <t>Page Total : 19/1/7</t>
  </si>
  <si>
    <t>22-004I 10/03/2025 13:08:21 Page : 105</t>
  </si>
  <si>
    <t>Phase 1 - Drainage</t>
  </si>
  <si>
    <t>20</t>
  </si>
  <si>
    <r>
      <rPr>
        <b/>
        <u/>
        <sz val="11"/>
        <rFont val="Arial"/>
      </rPr>
      <t xml:space="preserve">Q PAVING / PLANTING / FENCING / SITE FURNITURE
Q10 KERBS / EDGINGS / CHANNELS / PAVING ACCESSORIES
Channels
ACO Multidrain M200D 20.0 drainage channels; as drawing DGW1-BJB-Z0-SL-DR-C-0603; include for all excavation, disposal of surplus excavated material off site and concrete bed and haunch
</t>
    </r>
    <r>
      <rPr>
        <sz val="11"/>
        <rFont val="Arial"/>
      </rPr>
      <t>straight</t>
    </r>
  </si>
  <si>
    <t>20/1/1</t>
  </si>
  <si>
    <t>Page Total : 20/1/1</t>
  </si>
  <si>
    <t>22-004I 10/03/2025 13:08:21 Page : 107</t>
  </si>
  <si>
    <t>Phase 1 - External Services</t>
  </si>
  <si>
    <t>21</t>
  </si>
  <si>
    <t>No works in this section 1 ITEM</t>
  </si>
  <si>
    <t>21/1/1</t>
  </si>
  <si>
    <t>Page Total : 21/1/1</t>
  </si>
  <si>
    <t>22-004I 10/03/2025 13:08:21 Page : 109</t>
  </si>
  <si>
    <t>Phase 2 - Cut &amp; Fill</t>
  </si>
  <si>
    <t>22</t>
  </si>
  <si>
    <t>22/1/1</t>
  </si>
  <si>
    <t>22-004I 10/03/2025 13:08:21 Page : 110</t>
  </si>
  <si>
    <t>22/1/2</t>
  </si>
  <si>
    <t>Page Total : 22/1/1</t>
  </si>
  <si>
    <t>Page Total : 22/1/2</t>
  </si>
  <si>
    <t>22-004I 10/03/2025 13:08:21 Page : 112</t>
  </si>
  <si>
    <t>Phase 2 - External Works</t>
  </si>
  <si>
    <t>23</t>
  </si>
  <si>
    <r>
      <rPr>
        <b/>
        <u/>
        <sz val="11"/>
        <rFont val="Arial"/>
      </rPr>
      <t xml:space="preserve">D GROUNDWORK
D20 EXCAVATING AND FILLING
Filling to make up levels
Average thickness not exceeding 0.25 m
</t>
    </r>
    <r>
      <rPr>
        <sz val="11"/>
        <rFont val="Arial"/>
      </rPr>
      <t>obtained off site; topsoil</t>
    </r>
  </si>
  <si>
    <r>
      <rPr>
        <b/>
        <u/>
        <sz val="11"/>
        <rFont val="Arial"/>
      </rPr>
      <t xml:space="preserve">Average thickness exceeding 0.25 m
</t>
    </r>
    <r>
      <rPr>
        <sz val="11"/>
        <rFont val="Arial"/>
      </rPr>
      <t>obtained off site; topsoil</t>
    </r>
  </si>
  <si>
    <r>
      <rPr>
        <b/>
        <u/>
        <sz val="11"/>
        <rFont val="Arial"/>
      </rPr>
      <t xml:space="preserve">Q PAVING / PLANTING / FENCING / SITE FURNITURE
Q10 KERBS / EDGINGS / CHANNELS / PAVING ACCESSORIES
Precast concrete kerbs by Marshalls PLC, product reference: precast concrete/ conservation kerbs; allow for all necessary excavation, disposal, consolidation of trench bottom; ST4 concrete bed and haunch; backfill with selected excavated material; make allowance for R10/R12 dowel bars, 220 long where required
Edgings
</t>
    </r>
    <r>
      <rPr>
        <sz val="11"/>
        <rFont val="Arial"/>
      </rPr>
      <t>size 915 x 50 x 150; conservation edging; E1</t>
    </r>
  </si>
  <si>
    <t>23/1/1</t>
  </si>
  <si>
    <t>22-004I 10/03/2025 13:08:21 Page : 113</t>
  </si>
  <si>
    <r>
      <rPr>
        <b/>
        <u/>
        <sz val="11"/>
        <rFont val="Arial"/>
      </rPr>
      <t xml:space="preserve">Q20 GRANULAR SUB BASES TO ROADS / PAVINGS
Filling to make up levels
Average thickness not exceeding 0.25 m
</t>
    </r>
    <r>
      <rPr>
        <sz val="11"/>
        <rFont val="Arial"/>
      </rPr>
      <t>obtained off site; type 1 hardcore</t>
    </r>
  </si>
  <si>
    <r>
      <rPr>
        <b/>
        <u/>
        <sz val="11"/>
        <rFont val="Arial"/>
      </rPr>
      <t xml:space="preserve">Surface treatments
Compacting
</t>
    </r>
    <r>
      <rPr>
        <sz val="11"/>
        <rFont val="Arial"/>
      </rPr>
      <t>filling; type 1 hardcore</t>
    </r>
  </si>
  <si>
    <r>
      <rPr>
        <b/>
        <u/>
        <sz val="11"/>
        <rFont val="Arial"/>
      </rPr>
      <t xml:space="preserve">Q22 COATED MACADAM / ASPHALT ROADS / PAVINGS
Proposed buff coloured asphalt tarmac footway construction consisting of 30 thick buff coloured 6 aggregate DBM 190 pen surface course and 55 thick 20 aggregate DBM 190 pen binder course; as drawing XX-DR-D-00301 P01; overall thickness: 80 thick
Pavings
</t>
    </r>
    <r>
      <rPr>
        <sz val="11"/>
        <rFont val="Arial"/>
      </rPr>
      <t>level and to falls only</t>
    </r>
  </si>
  <si>
    <t>23/1/2</t>
  </si>
  <si>
    <t>22-004I 10/03/2025 13:08:21 Page : 114</t>
  </si>
  <si>
    <r>
      <rPr>
        <b/>
        <u/>
        <sz val="11"/>
        <rFont val="Arial"/>
      </rPr>
      <t xml:space="preserve">Trafford Way planting mix
</t>
    </r>
    <r>
      <rPr>
        <sz val="11"/>
        <rFont val="Arial"/>
      </rPr>
      <t>as drawing ZZ-SH-L-001 P02</t>
    </r>
  </si>
  <si>
    <t>23/1/3</t>
  </si>
  <si>
    <t>22-004I 10/03/2025 13:08:21 Page : 115</t>
  </si>
  <si>
    <r>
      <rPr>
        <b/>
        <u/>
        <sz val="11"/>
        <rFont val="Arial"/>
      </rPr>
      <t xml:space="preserve">Q40 FENCING
Steel pedestrian guardrail by Barrier Direct, product reference: 7654; consisting of 50 x 30 frame with 12 diameter for infill, polyester powder coated, RAL 9005; include concrete root footings; as drawing ZZ-SL-DR-L-7005
Railings
</t>
    </r>
    <r>
      <rPr>
        <sz val="11"/>
        <rFont val="Arial"/>
      </rPr>
      <t>1005 high</t>
    </r>
  </si>
  <si>
    <t>23/1/4</t>
  </si>
  <si>
    <t>Page Total : 23/1/1</t>
  </si>
  <si>
    <t>Page Total : 23/1/2</t>
  </si>
  <si>
    <t>Page Total : 23/1/3</t>
  </si>
  <si>
    <t>Page Total : 23/1/4</t>
  </si>
  <si>
    <t>22-004I 10/03/2025 13:08:21 Page : 117</t>
  </si>
  <si>
    <t>Phase 2 - Drainage</t>
  </si>
  <si>
    <t>24</t>
  </si>
  <si>
    <r>
      <rPr>
        <b/>
        <u/>
        <sz val="11"/>
        <rFont val="Arial"/>
      </rPr>
      <t xml:space="preserve">R DISPOSAL SYSTEMS
R12 DRAINAGE BELOW GROUND
Excavating trenches; include for disposal of surplus excavated material off site, earthwork support, consolidation of trench bottom, working space and backfill with selected excavated material
For pipes; not exceeding 200 nominal size
</t>
    </r>
    <r>
      <rPr>
        <sz val="11"/>
        <rFont val="Arial"/>
      </rPr>
      <t>1500 average depth</t>
    </r>
  </si>
  <si>
    <r>
      <rPr>
        <b/>
        <u/>
        <sz val="11"/>
        <rFont val="Arial"/>
      </rPr>
      <t xml:space="preserve">Naylor Densleeve flexibly jointed vitrified clay pipework
Pipework laid in trenches
</t>
    </r>
    <r>
      <rPr>
        <sz val="11"/>
        <rFont val="Arial"/>
      </rPr>
      <t>150 nominal size</t>
    </r>
  </si>
  <si>
    <r>
      <rPr>
        <b/>
        <u/>
        <sz val="11"/>
        <rFont val="Arial"/>
      </rPr>
      <t xml:space="preserve">Pipe accessories
600 long rocker pipes; built in flexible joints at both ends
</t>
    </r>
    <r>
      <rPr>
        <sz val="11"/>
        <rFont val="Arial"/>
      </rPr>
      <t>for pipe 150 nominal size</t>
    </r>
  </si>
  <si>
    <t>24/1/1</t>
  </si>
  <si>
    <t>22-004I 10/03/2025 13:08:21 Page : 118</t>
  </si>
  <si>
    <r>
      <rPr>
        <b/>
        <u/>
        <sz val="11"/>
        <rFont val="Arial"/>
      </rPr>
      <t xml:space="preserve">Manholes
Precast concrete catchpit manhole; cover and frame bedded on mortar; 2 to 4 courses of class B engineering brickwork; chamber bedded on class 1 mortar; 225 thick ST4 concrete base; 150 thick ST4 concrete surround; step irons or ladder; heavy duty reinforced concrete cover slab bedded with mortar or mastic sealant; concrete haunching; as drawing DWG1-BJB-Z0-SL-DR-C-00612; include for all excavation, disposal of surplus excavated material off site, earthwork support and backfill
</t>
    </r>
    <r>
      <rPr>
        <sz val="11"/>
        <rFont val="Arial"/>
      </rPr>
      <t>1200 diameter, 1750 average depth; cover class B125</t>
    </r>
  </si>
  <si>
    <r>
      <rPr>
        <b/>
        <u/>
        <sz val="11"/>
        <rFont val="Arial"/>
      </rPr>
      <t xml:space="preserve">Work to existing
Excavate and expose existing surface water manhole; connect 1 no. new 150 diameter surface water pipe; include for all excavation, disposal of surplus excavated material off site, earthwork support and backfill
</t>
    </r>
    <r>
      <rPr>
        <sz val="11"/>
        <rFont val="Arial"/>
      </rPr>
      <t>1500 average depth</t>
    </r>
  </si>
  <si>
    <r>
      <rPr>
        <b/>
        <u/>
        <sz val="11"/>
        <rFont val="Arial"/>
      </rPr>
      <t xml:space="preserve">CCTV inspection
</t>
    </r>
    <r>
      <rPr>
        <sz val="11"/>
        <rFont val="Arial"/>
      </rPr>
      <t>on completion</t>
    </r>
  </si>
  <si>
    <t>24/1/2</t>
  </si>
  <si>
    <t>22-004I 10/03/2025 13:08:21 Page : 119</t>
  </si>
  <si>
    <r>
      <rPr>
        <b/>
        <u/>
        <sz val="11"/>
        <rFont val="Arial"/>
      </rPr>
      <t xml:space="preserve">R13 LAND DRAINAGE
Excavating trenches; include for disposal of surplus excavated material off site, earthwork support, consolidation of trench bottom, working space and backfill with 20/30 single sized aggregate
For pipes; not exceeding 200 nominal size
</t>
    </r>
    <r>
      <rPr>
        <sz val="11"/>
        <rFont val="Arial"/>
      </rPr>
      <t>1500 average depth (assumed)</t>
    </r>
  </si>
  <si>
    <r>
      <rPr>
        <b/>
        <u/>
        <sz val="11"/>
        <rFont val="Arial"/>
      </rPr>
      <t xml:space="preserve">Beds and surrounds
Granular material; 20/30 single sized aggregate; obtained off site; wrapped in Terram 2000 gauge filter membrane; as drawing DWG1-BJB-Z0-SL-DR-C-00612
</t>
    </r>
    <r>
      <rPr>
        <sz val="11"/>
        <rFont val="Arial"/>
      </rPr>
      <t>400 x 75 bed; surround 150 thick; for pipe 100 nominal size</t>
    </r>
  </si>
  <si>
    <r>
      <rPr>
        <b/>
        <u/>
        <sz val="11"/>
        <rFont val="Arial"/>
      </rPr>
      <t xml:space="preserve">Perforated plastic twin wall pipework
Pipework laid in trenches
</t>
    </r>
    <r>
      <rPr>
        <sz val="11"/>
        <rFont val="Arial"/>
      </rPr>
      <t>100 nominal size</t>
    </r>
  </si>
  <si>
    <t>24/1/3</t>
  </si>
  <si>
    <t>Page Total : 24/1/1</t>
  </si>
  <si>
    <t>Page Total : 24/1/2</t>
  </si>
  <si>
    <t>Page Total : 24/1/3</t>
  </si>
  <si>
    <t>22-004I 10/03/2025 13:08:21 Page : 121</t>
  </si>
  <si>
    <t>Phase 2 - External Services</t>
  </si>
  <si>
    <t>25</t>
  </si>
  <si>
    <t>25/1/1</t>
  </si>
  <si>
    <t>Page Total : 25/1/1</t>
  </si>
  <si>
    <t>22-004I 10/03/2025 13:08:21 Page : 123</t>
  </si>
  <si>
    <t>Phase 3 - Cut &amp; Fill</t>
  </si>
  <si>
    <t>26</t>
  </si>
  <si>
    <r>
      <rPr>
        <b/>
        <u/>
        <sz val="11"/>
        <rFont val="Arial"/>
      </rPr>
      <t xml:space="preserve">Filling to make up levels
Average thickness not exceeding 0.25 m
</t>
    </r>
    <r>
      <rPr>
        <sz val="11"/>
        <rFont val="Arial"/>
      </rPr>
      <t>obtained off site; sub-soil</t>
    </r>
  </si>
  <si>
    <t>obtained off site; 6F2/ 6F5 hardcore for making up levels</t>
  </si>
  <si>
    <r>
      <rPr>
        <b/>
        <u/>
        <sz val="11"/>
        <rFont val="Arial"/>
      </rPr>
      <t xml:space="preserve">Average thickness exceeding 0.25 m
</t>
    </r>
    <r>
      <rPr>
        <sz val="11"/>
        <rFont val="Arial"/>
      </rPr>
      <t>obtained off site; 6F2/ 6F5 hardcore for making up levels; deposited in layers, compacted generally</t>
    </r>
  </si>
  <si>
    <t>26/1/1</t>
  </si>
  <si>
    <t>22-004I 10/03/2025 13:08:21 Page : 124</t>
  </si>
  <si>
    <r>
      <rPr>
        <b/>
        <u/>
        <sz val="11"/>
        <rFont val="Arial"/>
      </rPr>
      <t xml:space="preserve">Surface treatments
Compacting
</t>
    </r>
    <r>
      <rPr>
        <sz val="11"/>
        <rFont val="Arial"/>
      </rPr>
      <t>filling; 6F2/ 6F5 hardcore</t>
    </r>
  </si>
  <si>
    <t>filling; sub-soil</t>
  </si>
  <si>
    <t>26/1/2</t>
  </si>
  <si>
    <t>Page Total : 26/1/1</t>
  </si>
  <si>
    <t>Page Total : 26/1/2</t>
  </si>
  <si>
    <t>22-004I 10/03/2025 13:08:21 Page : 126</t>
  </si>
  <si>
    <t>Phase 3 - External Works</t>
  </si>
  <si>
    <t>27</t>
  </si>
  <si>
    <t>27/1/1</t>
  </si>
  <si>
    <t>22-004I 10/03/2025 13:08:21 Page : 127</t>
  </si>
  <si>
    <t>obtained off site; type 1 hardcore; for regulating (100 thick allowed)</t>
  </si>
  <si>
    <r>
      <rPr>
        <b/>
        <u/>
        <sz val="11"/>
        <rFont val="Arial"/>
      </rPr>
      <t xml:space="preserve">Q22 COATED MACADAM / ASPHALT ROADS / PAVINGS
Proposed tarmac footway construction consisting of 25 thick 6 aggregate DBM 190 pen surface course of 55 thick 20 aggregate DBN 190 pen binder course; as drawing XX-DR-D-00201; overall thickness: 80 thick
Pavings
</t>
    </r>
    <r>
      <rPr>
        <sz val="11"/>
        <rFont val="Arial"/>
      </rPr>
      <t>level and to falls only</t>
    </r>
  </si>
  <si>
    <r>
      <rPr>
        <b/>
        <u/>
        <sz val="11"/>
        <rFont val="Arial"/>
      </rPr>
      <t xml:space="preserve">Q25 SLAB / BRICK / BLOCK / SETT / COBBLE PAVINGS
Concrete pavers by Hardscape, product reference: Kellen breccia, colour: giallo, size to be confirmed x 80 thick; bond 1
Pavings
</t>
    </r>
    <r>
      <rPr>
        <sz val="11"/>
        <rFont val="Arial"/>
      </rPr>
      <t>level and to falls only</t>
    </r>
  </si>
  <si>
    <t>27/1/2</t>
  </si>
  <si>
    <t>22-004I 10/03/2025 13:08:21 Page : 128</t>
  </si>
  <si>
    <t>200 deep</t>
  </si>
  <si>
    <t>27/1/3</t>
  </si>
  <si>
    <t>22-004I 10/03/2025 13:08:21 Page : 129</t>
  </si>
  <si>
    <r>
      <rPr>
        <b/>
        <u/>
        <sz val="11"/>
        <rFont val="Arial"/>
      </rPr>
      <t xml:space="preserve">Q40 FENCING
Bike compound steel louvre fencing, steel louvre fencing; by Lang &amp; Fulton, product reference: Italia 100, polyester powder coated, colour: green, allow for posts and concrete root footing; as drawing ZZ-SL-DR-L-7005
Fencing
</t>
    </r>
    <r>
      <rPr>
        <sz val="11"/>
        <rFont val="Arial"/>
      </rPr>
      <t>2700 high</t>
    </r>
  </si>
  <si>
    <r>
      <rPr>
        <b/>
        <u/>
        <sz val="11"/>
        <rFont val="Arial"/>
      </rPr>
      <t xml:space="preserve">Bike compound steel louvre gates, by Land &amp; Fulton, product reference: bespoke, to match Italia 100 louvred fence panel; steel louvred gate; polyester powder coated, colour: green, allow for posts and concrete root footing and all necessary ironmongery; as drawing ZZ-SL-DR-L-7005
Gates
</t>
    </r>
    <r>
      <rPr>
        <sz val="11"/>
        <rFont val="Arial"/>
      </rPr>
      <t>size 1800 x 2700; double gate</t>
    </r>
  </si>
  <si>
    <t>27/1/4</t>
  </si>
  <si>
    <t>22-004I 10/03/2025 13:08:21 Page : 130</t>
  </si>
  <si>
    <r>
      <rPr>
        <b/>
        <u/>
        <sz val="11"/>
        <rFont val="Arial"/>
      </rPr>
      <t xml:space="preserve">Steel pedestrian guardrail by Barrier Direct, product reference: 7654; consisting of 50 x 30 frame with 12 diameter for infill, polyester powder coated, RAL 9005; include concrete root footings; as drawing ZZ-SL-DR-L-7005
Railings
</t>
    </r>
    <r>
      <rPr>
        <sz val="11"/>
        <rFont val="Arial"/>
      </rPr>
      <t>1005 high</t>
    </r>
  </si>
  <si>
    <r>
      <rPr>
        <b/>
        <u/>
        <sz val="11"/>
        <rFont val="Arial"/>
      </rPr>
      <t xml:space="preserve">Q50 SITE / STREET FURNITURE / EQUIPMENT
Fixtures, furnishings and equipment not associated with services
Cycle lockers by The Bike Storage Company, Original cycle shelter product reference: horizontal bike locker, steel finish as delivered: polyester powder coated, colour: green, allow for all works involved
</t>
    </r>
    <r>
      <rPr>
        <sz val="11"/>
        <rFont val="Arial"/>
      </rPr>
      <t>lockable to suit 22nr cycles</t>
    </r>
  </si>
  <si>
    <r>
      <rPr>
        <b/>
        <u/>
        <sz val="11"/>
        <rFont val="Arial"/>
      </rPr>
      <t xml:space="preserve">Door hoops; by Autopa Limited, product reference: thin type 2 doorstop,; stainless steel, polyester powder coated, include for concrete root footing
</t>
    </r>
    <r>
      <rPr>
        <sz val="11"/>
        <rFont val="Arial"/>
      </rPr>
      <t>size 350 wide x 1100 above ground x 48 diamter tube</t>
    </r>
  </si>
  <si>
    <t>27/1/5</t>
  </si>
  <si>
    <t>Page Total : 27/1/1</t>
  </si>
  <si>
    <t>Page Total : 27/1/2</t>
  </si>
  <si>
    <t>Page Total : 27/1/3</t>
  </si>
  <si>
    <t>Page Total : 27/1/4</t>
  </si>
  <si>
    <t>Page Total : 27/1/5</t>
  </si>
  <si>
    <t>22-004I 10/03/2025 13:08:21 Page : 132</t>
  </si>
  <si>
    <t>Phase 3 - Drainage</t>
  </si>
  <si>
    <t>28</t>
  </si>
  <si>
    <r>
      <rPr>
        <b/>
        <u/>
        <sz val="11"/>
        <rFont val="Arial"/>
      </rPr>
      <t xml:space="preserve">ACO step drain drainage channels; as drawing DGW1-BJB-Z0-SL-DR-C-0602; include for all excavation, disposal of surplus excavated material off site and concrete bed and haunch
</t>
    </r>
    <r>
      <rPr>
        <sz val="11"/>
        <rFont val="Arial"/>
      </rPr>
      <t>straight</t>
    </r>
  </si>
  <si>
    <t>28/1/1</t>
  </si>
  <si>
    <t>22-004I 10/03/2025 13:08:21 Page : 133</t>
  </si>
  <si>
    <r>
      <rPr>
        <b/>
        <u/>
        <sz val="11"/>
        <rFont val="Arial"/>
      </rPr>
      <t xml:space="preserve">Beds and surrounds
Plain insitu concrete; grade RC20/25; include for movement joints at pipe joints; as drawing DGW1-BJB-Z0-SL-DR-C-00610
</t>
    </r>
    <r>
      <rPr>
        <sz val="11"/>
        <rFont val="Arial"/>
      </rPr>
      <t>410 x 150 bed; surround 150 thick; for pipe 110 nominal size</t>
    </r>
  </si>
  <si>
    <r>
      <rPr>
        <b/>
        <u/>
        <sz val="11"/>
        <rFont val="Arial"/>
      </rPr>
      <t xml:space="preserve">Naylor Densleeve flexibly jointed vitrified clay pipework
Pipework laid in trenches
</t>
    </r>
    <r>
      <rPr>
        <sz val="11"/>
        <rFont val="Arial"/>
      </rPr>
      <t>110 nominal size</t>
    </r>
  </si>
  <si>
    <t>28/1/2</t>
  </si>
  <si>
    <t>Page Total : 28/1/1</t>
  </si>
  <si>
    <t>Page Total : 28/1/2</t>
  </si>
  <si>
    <t>22-004I 10/03/2025 13:08:21 Page : 135</t>
  </si>
  <si>
    <t>Phase 3 - External Services</t>
  </si>
  <si>
    <t>29</t>
  </si>
  <si>
    <r>
      <rPr>
        <b/>
        <u/>
        <sz val="11"/>
        <rFont val="Arial"/>
      </rPr>
      <t xml:space="preserve">P BUILDING FABRIC SUNDRIES
P30 TRENCHES / PIPEWAYS / PITS FOR BURIED ENGINEERING SERVICES
Excavating trenches; include for disposal of excavated material, earthwork support, consolidation of trench bottom, backfill with imported material obtained off site
For services; not exceeding 200 nominal size
</t>
    </r>
    <r>
      <rPr>
        <sz val="11"/>
        <rFont val="Arial"/>
      </rPr>
      <t>750 average depth; to accommodate external lighting ducts</t>
    </r>
  </si>
  <si>
    <t>750 average depth; to accommodate communication ducts</t>
  </si>
  <si>
    <r>
      <rPr>
        <b/>
        <u/>
        <sz val="11"/>
        <rFont val="Arial"/>
      </rPr>
      <t xml:space="preserve">For multiple services in the same trench; not exceeding 200 nominal size
</t>
    </r>
    <r>
      <rPr>
        <sz val="11"/>
        <rFont val="Arial"/>
      </rPr>
      <t>750 average depth; to accommodate 2 No. external lighting ducts</t>
    </r>
  </si>
  <si>
    <t>750 average depth; to accommodate 4 No. communication ducts</t>
  </si>
  <si>
    <t>750 average depth; to accommodate DNO feeder cables/ LV ducts</t>
  </si>
  <si>
    <t>750 average depth; to accommodate 3 no. water main ducts</t>
  </si>
  <si>
    <r>
      <rPr>
        <b/>
        <u/>
        <sz val="11"/>
        <rFont val="Arial"/>
      </rPr>
      <t xml:space="preserve">Beds and surrounds
100 thick bed; 150 thick surround; granular material; obtained off site
</t>
    </r>
    <r>
      <rPr>
        <sz val="11"/>
        <rFont val="Arial"/>
      </rPr>
      <t>for external lighting ducts</t>
    </r>
  </si>
  <si>
    <t>for communication ducts</t>
  </si>
  <si>
    <t>for DNO feeder cables/ LV ducts</t>
  </si>
  <si>
    <t>for water main ducts</t>
  </si>
  <si>
    <t>29/1/1</t>
  </si>
  <si>
    <t>22-004I 10/03/2025 13:08:21 Page : 136</t>
  </si>
  <si>
    <r>
      <rPr>
        <b/>
        <u/>
        <sz val="11"/>
        <rFont val="Arial"/>
      </rPr>
      <t xml:space="preserve">Stop cock pits, valve chambers and the like
Draw pits
</t>
    </r>
    <r>
      <rPr>
        <sz val="11"/>
        <rFont val="Arial"/>
      </rPr>
      <t>communication ducts</t>
    </r>
  </si>
  <si>
    <t>external lighting ducts</t>
  </si>
  <si>
    <r>
      <rPr>
        <b/>
        <u/>
        <sz val="11"/>
        <rFont val="Arial"/>
      </rPr>
      <t xml:space="preserve">Underground ducts for engineering services
MDPE pipe; include for all fittings
</t>
    </r>
    <r>
      <rPr>
        <sz val="11"/>
        <rFont val="Arial"/>
      </rPr>
      <t>diameter unknown for water pipe mains</t>
    </r>
  </si>
  <si>
    <r>
      <rPr>
        <b/>
        <u/>
        <sz val="11"/>
        <rFont val="Arial"/>
      </rPr>
      <t xml:space="preserve">PVC ducts; complete with draw strings
</t>
    </r>
    <r>
      <rPr>
        <sz val="11"/>
        <rFont val="Arial"/>
      </rPr>
      <t>100 diameter for external lighting</t>
    </r>
  </si>
  <si>
    <t>100 diameter for communications</t>
  </si>
  <si>
    <t>150 diameter for external lighting</t>
  </si>
  <si>
    <t>diameter unknown for DNO/LV</t>
  </si>
  <si>
    <r>
      <rPr>
        <b/>
        <u/>
        <sz val="11"/>
        <rFont val="Arial"/>
      </rPr>
      <t xml:space="preserve">Items extra over the duct in which they occur
Special treatment to ends
</t>
    </r>
    <r>
      <rPr>
        <sz val="11"/>
        <rFont val="Arial"/>
      </rPr>
      <t>connection into building; water mains</t>
    </r>
  </si>
  <si>
    <t>connection into building; communications</t>
  </si>
  <si>
    <t>connection into building; external lighting</t>
  </si>
  <si>
    <t>connection into external lighting; external lighting</t>
  </si>
  <si>
    <t>connection into photo cell; external lighting</t>
  </si>
  <si>
    <t>connection into draw pits; external lighting</t>
  </si>
  <si>
    <t>connection into draw pits; communications</t>
  </si>
  <si>
    <t>connection into building; DNO/LV</t>
  </si>
  <si>
    <t>connection into substation; DNO/LV</t>
  </si>
  <si>
    <t>29/1/2</t>
  </si>
  <si>
    <t>22-004I 10/03/2025 13:08:21 Page : 137</t>
  </si>
  <si>
    <r>
      <rPr>
        <b/>
        <u/>
        <sz val="11"/>
        <rFont val="Arial"/>
      </rPr>
      <t xml:space="preserve">Identification tapes
Incorporating metallic strip; laid in service trenches
</t>
    </r>
    <r>
      <rPr>
        <sz val="11"/>
        <rFont val="Arial"/>
      </rPr>
      <t>for DNO feeder cables/LV ducts</t>
    </r>
  </si>
  <si>
    <t>for external lighting ducts</t>
  </si>
  <si>
    <t>for 2 no. external lighting ducts</t>
  </si>
  <si>
    <t>for 4 no. communication ducts</t>
  </si>
  <si>
    <t>for water mains pipe</t>
  </si>
  <si>
    <r>
      <rPr>
        <b/>
        <u/>
        <sz val="11"/>
        <rFont val="Arial"/>
      </rPr>
      <t xml:space="preserve">Builders work
Allow for cutting holes, chases etc and building in ducts for main services
</t>
    </r>
    <r>
      <rPr>
        <sz val="11"/>
        <rFont val="Arial"/>
      </rPr>
      <t>DNO feeder cables/LV ducts</t>
    </r>
  </si>
  <si>
    <t>comms</t>
  </si>
  <si>
    <t>water mains</t>
  </si>
  <si>
    <t>external lighting</t>
  </si>
  <si>
    <t>29/1/3</t>
  </si>
  <si>
    <t>Page Total : 29/1/1</t>
  </si>
  <si>
    <t>Page Total : 29/1/2</t>
  </si>
  <si>
    <t>Page Total : 29/1/3</t>
  </si>
  <si>
    <t>22-004I 10/03/2025 13:08:22 Page : 139</t>
  </si>
  <si>
    <t>Phase 4 - Cut &amp; Fill</t>
  </si>
  <si>
    <t>30</t>
  </si>
  <si>
    <t>30/1/1</t>
  </si>
  <si>
    <t>Page Total : 30/1/1</t>
  </si>
  <si>
    <t>22-004I 10/03/2025 13:08:22 Page : 141</t>
  </si>
  <si>
    <t>Phase 4 - External Works</t>
  </si>
  <si>
    <t>31</t>
  </si>
  <si>
    <r>
      <rPr>
        <b/>
        <u/>
        <sz val="11"/>
        <rFont val="Arial"/>
      </rPr>
      <t xml:space="preserve">D GROUNDWORK
D20 EXCAVATING AND FILLING
Filling to make up levels
Average thickness exceeding 0.25 m
</t>
    </r>
    <r>
      <rPr>
        <sz val="11"/>
        <rFont val="Arial"/>
      </rPr>
      <t>obtained off site; topsoil</t>
    </r>
  </si>
  <si>
    <t>31/1/1</t>
  </si>
  <si>
    <t>22-004I 10/03/2025 13:08:22 Page : 142</t>
  </si>
  <si>
    <r>
      <rPr>
        <b/>
        <u/>
        <sz val="11"/>
        <rFont val="Arial"/>
      </rPr>
      <t xml:space="preserve">Filling to make up levels
Average thickness not exceeding 0.25 m
</t>
    </r>
    <r>
      <rPr>
        <sz val="11"/>
        <rFont val="Arial"/>
      </rPr>
      <t>obtained off site; type 1 hardcore</t>
    </r>
  </si>
  <si>
    <r>
      <rPr>
        <b/>
        <u/>
        <sz val="11"/>
        <rFont val="Arial"/>
      </rPr>
      <t xml:space="preserve">Concrete pavers by Hardscape, product reference: Kellen breccia, colour: giallo, size to be confirmed x 80 thick; bond 2
Pavings
</t>
    </r>
    <r>
      <rPr>
        <sz val="11"/>
        <rFont val="Arial"/>
      </rPr>
      <t>level and to falls only</t>
    </r>
  </si>
  <si>
    <t>31/1/2</t>
  </si>
  <si>
    <t>22-004I 10/03/2025 13:08:22 Page : 143</t>
  </si>
  <si>
    <t>31/1/3</t>
  </si>
  <si>
    <t>22-004I 10/03/2025 13:08:22 Page : 144</t>
  </si>
  <si>
    <r>
      <rPr>
        <b/>
        <u/>
        <sz val="11"/>
        <rFont val="Arial"/>
      </rPr>
      <t xml:space="preserve">Q50 SITE / STREET FURNITURE / EQUIPMENT
Fixtures, furnishings and equipment not associated with services
Building signage totem; by Rydon Signs or similar approved, polyester powder coated frame, colour: to match curtain walling within building; glazed infill panels, 3D built up lettering, allow for illumination as NBS N91/120
</t>
    </r>
    <r>
      <rPr>
        <sz val="11"/>
        <rFont val="Arial"/>
      </rPr>
      <t>size 1500 x 300 x 2500</t>
    </r>
  </si>
  <si>
    <r>
      <rPr>
        <b/>
        <u/>
        <sz val="11"/>
        <rFont val="Arial"/>
      </rPr>
      <t xml:space="preserve">Benches; by Logic bespoke, product reference: modal: polyester powder coated legs RAL 7022 with timber slat bench finish, include for concrete root footing
</t>
    </r>
    <r>
      <rPr>
        <sz val="11"/>
        <rFont val="Arial"/>
      </rPr>
      <t>2480 long x 785 total height</t>
    </r>
  </si>
  <si>
    <r>
      <rPr>
        <b/>
        <u/>
        <sz val="11"/>
        <rFont val="Arial"/>
      </rPr>
      <t xml:space="preserve">Planter; by Iota, product reference: custom steel planter, polyester powder coated
</t>
    </r>
    <r>
      <rPr>
        <sz val="11"/>
        <rFont val="Arial"/>
      </rPr>
      <t>size 5000 long x 1750 wide x 500 high</t>
    </r>
  </si>
  <si>
    <t>Planter installation</t>
  </si>
  <si>
    <r>
      <rPr>
        <b/>
        <u/>
        <sz val="11"/>
        <rFont val="Arial"/>
      </rPr>
      <t xml:space="preserve">Cycle hoops; by Marshalls, product reference: essentials cycle stand, finish: brushed stainless steel, include for concrete root footing
</t>
    </r>
    <r>
      <rPr>
        <sz val="11"/>
        <rFont val="Arial"/>
      </rPr>
      <t>800 long x 750 high</t>
    </r>
  </si>
  <si>
    <t>31/1/4</t>
  </si>
  <si>
    <t>Page Total : 31/1/1</t>
  </si>
  <si>
    <t>Page Total : 31/1/2</t>
  </si>
  <si>
    <t>Page Total : 31/1/3</t>
  </si>
  <si>
    <t>Page Total : 31/1/4</t>
  </si>
  <si>
    <t>22-004I 10/03/2025 13:08:22 Page : 146</t>
  </si>
  <si>
    <t>Phase 4 - Drainage</t>
  </si>
  <si>
    <t>32</t>
  </si>
  <si>
    <r>
      <rPr>
        <b/>
        <u/>
        <sz val="11"/>
        <rFont val="Arial"/>
      </rPr>
      <t xml:space="preserve">Beds and surrounds
Plain insitu concrete; grade RC20/25; include for movement joints at pipe joints; as drawing DGW1-BJB-Z0-SL-DR-C-00610
</t>
    </r>
    <r>
      <rPr>
        <sz val="11"/>
        <rFont val="Arial"/>
      </rPr>
      <t>450 x 150 bed; surround 150 thick; for pipe 150 nominal size</t>
    </r>
  </si>
  <si>
    <t>32/1/1</t>
  </si>
  <si>
    <t>22-004I 10/03/2025 13:08:22 Page : 147</t>
  </si>
  <si>
    <r>
      <rPr>
        <b/>
        <u/>
        <sz val="11"/>
        <rFont val="Arial"/>
      </rPr>
      <t xml:space="preserve">CCTV inspection
</t>
    </r>
    <r>
      <rPr>
        <sz val="11"/>
        <rFont val="Arial"/>
      </rPr>
      <t>on completion; by water</t>
    </r>
  </si>
  <si>
    <t>32/1/2</t>
  </si>
  <si>
    <t>Page Total : 32/1/1</t>
  </si>
  <si>
    <t>Page Total : 32/1/2</t>
  </si>
  <si>
    <t>22-004I 10/03/2025 13:08:22 Page : 149</t>
  </si>
  <si>
    <t>Phase 4 - External Services</t>
  </si>
  <si>
    <t>33</t>
  </si>
  <si>
    <r>
      <rPr>
        <b/>
        <u/>
        <sz val="11"/>
        <rFont val="Arial"/>
      </rPr>
      <t xml:space="preserve">P BUILDING FABRIC SUNDRIES
P30 TRENCHES / PIPEWAYS / PITS FOR BURIED ENGINEERING SERVICES
Excavating trenches; include for disposal of surplus excavated material off site, earthwork support, consolidation of trench bottom, working space and backfill
For services; not exceeding 200 nominal size
</t>
    </r>
    <r>
      <rPr>
        <sz val="11"/>
        <rFont val="Arial"/>
      </rPr>
      <t>750 average depth; to accommodate external lighting ducts</t>
    </r>
  </si>
  <si>
    <r>
      <rPr>
        <b/>
        <u/>
        <sz val="11"/>
        <rFont val="Arial"/>
      </rPr>
      <t xml:space="preserve">For multiple services in the same trench; not exceeding 200 nominal size
</t>
    </r>
    <r>
      <rPr>
        <sz val="11"/>
        <rFont val="Arial"/>
      </rPr>
      <t>750 average depth; to accommodate 4 No. communication ducts</t>
    </r>
  </si>
  <si>
    <r>
      <rPr>
        <b/>
        <u/>
        <sz val="11"/>
        <rFont val="Arial"/>
      </rPr>
      <t xml:space="preserve">Underground ducts for engineering services
PVC ducts; complete with draw strings
</t>
    </r>
    <r>
      <rPr>
        <sz val="11"/>
        <rFont val="Arial"/>
      </rPr>
      <t>100 diameter for external lighting</t>
    </r>
  </si>
  <si>
    <t>100 diameter for communication duct</t>
  </si>
  <si>
    <t>33/1/1</t>
  </si>
  <si>
    <t>22-004I 10/03/2025 13:08:22 Page : 150</t>
  </si>
  <si>
    <r>
      <rPr>
        <b/>
        <u/>
        <sz val="11"/>
        <rFont val="Arial"/>
      </rPr>
      <t xml:space="preserve">Items extra over the duct in which they occur
Special treatment to ends
</t>
    </r>
    <r>
      <rPr>
        <sz val="11"/>
        <rFont val="Arial"/>
      </rPr>
      <t>connection into building; external lighting</t>
    </r>
  </si>
  <si>
    <r>
      <rPr>
        <b/>
        <u/>
        <sz val="11"/>
        <rFont val="Arial"/>
      </rPr>
      <t xml:space="preserve">Identification tapes
Incorporating metallic strip; laid in service trenches
</t>
    </r>
    <r>
      <rPr>
        <sz val="11"/>
        <rFont val="Arial"/>
      </rPr>
      <t>for external lighting ducts</t>
    </r>
  </si>
  <si>
    <r>
      <rPr>
        <b/>
        <u/>
        <sz val="11"/>
        <rFont val="Arial"/>
      </rPr>
      <t xml:space="preserve">Builders work
Allow for cutting holes, chases etc and building in ducts for main services
</t>
    </r>
    <r>
      <rPr>
        <sz val="11"/>
        <rFont val="Arial"/>
      </rPr>
      <t>external lighting</t>
    </r>
  </si>
  <si>
    <t>communications</t>
  </si>
  <si>
    <t>33/1/2</t>
  </si>
  <si>
    <t>Page Total : 33/1/1</t>
  </si>
  <si>
    <t>Page Total : 33/1/2</t>
  </si>
  <si>
    <t>22-004I 10/03/2025 13:08:22 Page : 152</t>
  </si>
  <si>
    <t>Phase 5 - Cut &amp; Fill</t>
  </si>
  <si>
    <t>34</t>
  </si>
  <si>
    <r>
      <rPr>
        <b/>
        <u/>
        <sz val="11"/>
        <rFont val="Arial"/>
      </rPr>
      <t xml:space="preserve">D GROUNDWORK
D20 EXCAVATING AND FILLING
Filling to make up levels
Average thickness not exceeding 0.25 m
</t>
    </r>
    <r>
      <rPr>
        <sz val="11"/>
        <rFont val="Arial"/>
      </rPr>
      <t>obtained off site; 6F2/ 6F5 hardcore for making up levels</t>
    </r>
  </si>
  <si>
    <t>34/1/1</t>
  </si>
  <si>
    <t>Page Total : 34/1/1</t>
  </si>
  <si>
    <t>22-004I 10/03/2025 13:08:22 Page : 154</t>
  </si>
  <si>
    <t>Phase 5 - External Works</t>
  </si>
  <si>
    <t>35</t>
  </si>
  <si>
    <t>35/1/1</t>
  </si>
  <si>
    <t>22-004I 10/03/2025 13:08:22 Page : 155</t>
  </si>
  <si>
    <r>
      <rPr>
        <b/>
        <u/>
        <sz val="11"/>
        <rFont val="Arial"/>
      </rPr>
      <t xml:space="preserve">E IN SITU CONCRETE / LARGE PRECAST CONCRETE
E10 MIXING / CASTING / CURING IN-SITU CONCRETE
Plain insitu concrete; GEN 3 mix; 20 aggregate
Foundations
</t>
    </r>
    <r>
      <rPr>
        <sz val="11"/>
        <rFont val="Arial"/>
      </rPr>
      <t>generally; filled into formwork</t>
    </r>
  </si>
  <si>
    <r>
      <rPr>
        <b/>
        <u/>
        <sz val="11"/>
        <rFont val="Arial"/>
      </rPr>
      <t xml:space="preserve">Beds; as blinding
</t>
    </r>
    <r>
      <rPr>
        <sz val="11"/>
        <rFont val="Arial"/>
      </rPr>
      <t>not exceeding 150 thick</t>
    </r>
  </si>
  <si>
    <r>
      <rPr>
        <b/>
        <u/>
        <sz val="11"/>
        <rFont val="Arial"/>
      </rPr>
      <t xml:space="preserve">E20 FORMWORK FOR IN-SITU CONCRETE
Sides of foundations
Plain, vertical
</t>
    </r>
    <r>
      <rPr>
        <sz val="11"/>
        <rFont val="Arial"/>
      </rPr>
      <t>250 to 500 high</t>
    </r>
  </si>
  <si>
    <r>
      <rPr>
        <b/>
        <u/>
        <sz val="11"/>
        <rFont val="Arial"/>
      </rPr>
      <t xml:space="preserve">F MASONRY
F10 BRICK / BLOCK WALLING
Clay facing brickwork; to Contractor's choice; laid in half lap stretcher bond in approved mortar with approved joints
Walls
</t>
    </r>
    <r>
      <rPr>
        <sz val="11"/>
        <rFont val="Arial"/>
      </rPr>
      <t>one brick thick; built using two skins; include all necessary wall ties</t>
    </r>
  </si>
  <si>
    <t>35/1/2</t>
  </si>
  <si>
    <t>22-004I 10/03/2025 13:08:22 Page : 156</t>
  </si>
  <si>
    <r>
      <rPr>
        <b/>
        <u/>
        <sz val="11"/>
        <rFont val="Arial"/>
      </rPr>
      <t xml:space="preserve">Clay facing brickwork; to Contractor's choice; laid in half lap stretcher bond in approved mortar with approved joints
Copings
</t>
    </r>
    <r>
      <rPr>
        <sz val="11"/>
        <rFont val="Arial"/>
      </rPr>
      <t>brick on edge coping</t>
    </r>
  </si>
  <si>
    <r>
      <rPr>
        <b/>
        <u/>
        <sz val="11"/>
        <rFont val="Arial"/>
      </rPr>
      <t xml:space="preserve">F30 ACCESSORIES / SUNDRY ITEMS FOR BRICK / BLOCK / STONE WALLING
Damp proof courses; Visqueen Zedex CPT damp proof courses; lapped joints
Damp proof courses
</t>
    </r>
    <r>
      <rPr>
        <sz val="11"/>
        <rFont val="Arial"/>
      </rPr>
      <t>width not exceeding 225; horizontal</t>
    </r>
  </si>
  <si>
    <r>
      <rPr>
        <b/>
        <u/>
        <sz val="11"/>
        <rFont val="Arial"/>
      </rPr>
      <t xml:space="preserve">L WINDOWS / DOORS / STAIRS
L30 STAIRS / WALKWAYS / BALUSTRADES
Associated handrail; to Contractor's choice; handrail and supports to Landscape Architect's details, as detail 04 on drawing SL-DR-L-7006 P02
Associated handrails
</t>
    </r>
    <r>
      <rPr>
        <sz val="11"/>
        <rFont val="Arial"/>
      </rPr>
      <t>1000 high; raking</t>
    </r>
  </si>
  <si>
    <r>
      <rPr>
        <b/>
        <u/>
        <sz val="11"/>
        <rFont val="Arial"/>
      </rPr>
      <t xml:space="preserve">Extra for
</t>
    </r>
    <r>
      <rPr>
        <sz val="11"/>
        <rFont val="Arial"/>
      </rPr>
      <t>stop ends</t>
    </r>
  </si>
  <si>
    <t>35/1/3</t>
  </si>
  <si>
    <t>22-004I 10/03/2025 13:08:22 Page : 157</t>
  </si>
  <si>
    <t>35/1/4</t>
  </si>
  <si>
    <t>22-004I 10/03/2025 13:08:22 Page : 158</t>
  </si>
  <si>
    <r>
      <rPr>
        <b/>
        <u/>
        <sz val="11"/>
        <rFont val="Arial"/>
      </rPr>
      <t xml:space="preserve">Q22 COATED MACADAM / ASPHALT ROADS / PAVINGS
Paving sub-base; regulate beneath flag paving with AC20 binder course; as drawing XX-DR-D-00201; overall thickness: to be confirmed on site
Pavings
</t>
    </r>
    <r>
      <rPr>
        <sz val="11"/>
        <rFont val="Arial"/>
      </rPr>
      <t>level and to falls only</t>
    </r>
  </si>
  <si>
    <r>
      <rPr>
        <b/>
        <u/>
        <sz val="11"/>
        <rFont val="Arial"/>
      </rPr>
      <t xml:space="preserve">Treads
</t>
    </r>
    <r>
      <rPr>
        <sz val="11"/>
        <rFont val="Arial"/>
      </rPr>
      <t>400 wide</t>
    </r>
  </si>
  <si>
    <r>
      <rPr>
        <b/>
        <u/>
        <sz val="11"/>
        <rFont val="Arial"/>
      </rPr>
      <t xml:space="preserve">Risers
</t>
    </r>
    <r>
      <rPr>
        <sz val="11"/>
        <rFont val="Arial"/>
      </rPr>
      <t>150 high</t>
    </r>
  </si>
  <si>
    <r>
      <rPr>
        <b/>
        <u/>
        <sz val="11"/>
        <rFont val="Arial"/>
      </rPr>
      <t xml:space="preserve">Tactile flag paving to by Marhsalls, product reference buff, pressed concrete flag with profiled surface, laid in stack bond; tactile flags, size 400 x 400 x 65 thick
Pavings
</t>
    </r>
    <r>
      <rPr>
        <sz val="11"/>
        <rFont val="Arial"/>
      </rPr>
      <t>level and to falls only</t>
    </r>
  </si>
  <si>
    <t>35/1/5</t>
  </si>
  <si>
    <t>22-004I 10/03/2025 13:08:22 Page : 159</t>
  </si>
  <si>
    <r>
      <rPr>
        <b/>
        <u/>
        <sz val="11"/>
        <rFont val="Arial"/>
      </rPr>
      <t xml:space="preserve">Soft landscaping
Ornamental mix planting
</t>
    </r>
    <r>
      <rPr>
        <sz val="11"/>
        <rFont val="Arial"/>
      </rPr>
      <t>as drawing ZZ-SH-L-001 P02</t>
    </r>
  </si>
  <si>
    <r>
      <rPr>
        <b/>
        <u/>
        <sz val="11"/>
        <rFont val="Arial"/>
      </rPr>
      <t xml:space="preserve">Q50 SITE / STREET FURNITURE / EQUIPMENT
Fixtures, furnishings and equipment not associated with services
Planter; by Iota, product reference: custom steel planter, polyester powder coated
Drawing 0001 Landscape materials schedule; RAL 1035 Metalic
</t>
    </r>
    <r>
      <rPr>
        <sz val="11"/>
        <rFont val="Arial"/>
      </rPr>
      <t>size 4800 long x 1400 wide x 500 high</t>
    </r>
  </si>
  <si>
    <r>
      <rPr>
        <b/>
        <u/>
        <sz val="11"/>
        <rFont val="Arial"/>
      </rPr>
      <t xml:space="preserve">Q50 SITE / STREET FURNITURE / EQUIPMENT
Fixtures, furnishings and equipment not associated with services
Planter; by Lota, product reference: custom steel planter, polyester powder coated
</t>
    </r>
    <r>
      <rPr>
        <sz val="11"/>
        <rFont val="Arial"/>
      </rPr>
      <t>size 5000 long x 1550 wide x 500 high</t>
    </r>
  </si>
  <si>
    <t>size 9500 long x 1400 wide x 500 high</t>
  </si>
  <si>
    <t>35/1/6</t>
  </si>
  <si>
    <t>Page Total : 35/1/1</t>
  </si>
  <si>
    <t>Page Total : 35/1/2</t>
  </si>
  <si>
    <t>Page Total : 35/1/3</t>
  </si>
  <si>
    <t>Page Total : 35/1/4</t>
  </si>
  <si>
    <t>Page Total : 35/1/5</t>
  </si>
  <si>
    <t>Page Total : 35/1/6</t>
  </si>
  <si>
    <t>22-004I 10/03/2025 13:08:22 Page : 161</t>
  </si>
  <si>
    <t>Phase 5 - Drainage</t>
  </si>
  <si>
    <t>36</t>
  </si>
  <si>
    <r>
      <rPr>
        <b/>
        <u/>
        <sz val="11"/>
        <rFont val="Arial"/>
      </rPr>
      <t xml:space="preserve">Q PAVING / PLANTING / FENCING / SITE FURNITURE
Q10 KERBS / EDGINGS / CHANNELS / PAVING ACCESSORIES
Channels
ACO Q-max 350 drainage channels; 50 thick sand blinding; 150 thick C20/25A concrete bed and surround; as drawing DWG1-BJB-Z0-SL-DR-C-00611; include for all excavation and disposal of surplus excavated material off site
</t>
    </r>
    <r>
      <rPr>
        <sz val="11"/>
        <rFont val="Arial"/>
      </rPr>
      <t>straight</t>
    </r>
  </si>
  <si>
    <t>36/1/1</t>
  </si>
  <si>
    <t>22-004I 10/03/2025 13:08:22 Page : 162</t>
  </si>
  <si>
    <t>36/1/2</t>
  </si>
  <si>
    <t>Page Total : 36/1/1</t>
  </si>
  <si>
    <t>Page Total : 36/1/2</t>
  </si>
  <si>
    <t>22-004I 10/03/2025 13:08:22 Page : 164</t>
  </si>
  <si>
    <t>Phase 5 - External Services</t>
  </si>
  <si>
    <t>37</t>
  </si>
  <si>
    <t>750 average depth; to accommodate internal DNO supplies/ LV ducts</t>
  </si>
  <si>
    <t>750 average depth; to accommodate water main ducts</t>
  </si>
  <si>
    <t>for DNO supplies/ LV ducts</t>
  </si>
  <si>
    <t>37/1/1</t>
  </si>
  <si>
    <t>22-004I 10/03/2025 13:08:22 Page : 165</t>
  </si>
  <si>
    <r>
      <rPr>
        <b/>
        <u/>
        <sz val="11"/>
        <rFont val="Arial"/>
      </rPr>
      <t xml:space="preserve">Stop cock pits, valve chambers and the like
IDNO heavy duty cutout metering unit
</t>
    </r>
    <r>
      <rPr>
        <sz val="11"/>
        <rFont val="Arial"/>
      </rPr>
      <t>internal DNO supplies/ LV</t>
    </r>
  </si>
  <si>
    <r>
      <rPr>
        <b/>
        <u/>
        <sz val="11"/>
        <rFont val="Arial"/>
      </rPr>
      <t xml:space="preserve">Draw pits
</t>
    </r>
    <r>
      <rPr>
        <sz val="11"/>
        <rFont val="Arial"/>
      </rPr>
      <t>for external lighting</t>
    </r>
  </si>
  <si>
    <t>diameter unknown for DNO feeder cables/LV ducts</t>
  </si>
  <si>
    <t>diameter unknown for DNO supplies/LV duct</t>
  </si>
  <si>
    <r>
      <rPr>
        <b/>
        <u/>
        <sz val="11"/>
        <rFont val="Arial"/>
      </rPr>
      <t xml:space="preserve">MDPE pipe; include for all fittings
</t>
    </r>
    <r>
      <rPr>
        <sz val="11"/>
        <rFont val="Arial"/>
      </rPr>
      <t>diameter unknown for water pipe mains</t>
    </r>
  </si>
  <si>
    <r>
      <rPr>
        <b/>
        <u/>
        <sz val="11"/>
        <rFont val="Arial"/>
      </rPr>
      <t xml:space="preserve">Items extra over the duct in which they occur
Special treatment to ends
</t>
    </r>
    <r>
      <rPr>
        <sz val="11"/>
        <rFont val="Arial"/>
      </rPr>
      <t>connection into external lighting; external lighting</t>
    </r>
  </si>
  <si>
    <t>connection into 1DNO heavy duty cutout metering unit; DNO supplies/LV</t>
  </si>
  <si>
    <t>connection into building; DNO supplies/ LV duct</t>
  </si>
  <si>
    <t>connection into building; DNO feeder cables/ LV duct</t>
  </si>
  <si>
    <t>37/1/2</t>
  </si>
  <si>
    <t>22-004I 10/03/2025 13:08:22 Page : 166</t>
  </si>
  <si>
    <t>for DNO supplies/LV ducts</t>
  </si>
  <si>
    <t>for water mains duct</t>
  </si>
  <si>
    <t>DNO supplies/LV ducts</t>
  </si>
  <si>
    <t>37/1/3</t>
  </si>
  <si>
    <t>Page Total : 37/1/1</t>
  </si>
  <si>
    <t>Page Total : 37/1/2</t>
  </si>
  <si>
    <t>Page Total : 37/1/3</t>
  </si>
  <si>
    <t>22-004I 10/03/2025 13:08:22 Page : 168</t>
  </si>
  <si>
    <t>Phase 6 - Cut &amp; Fill</t>
  </si>
  <si>
    <t>38</t>
  </si>
  <si>
    <r>
      <rPr>
        <b/>
        <u/>
        <sz val="11"/>
        <rFont val="Arial"/>
      </rPr>
      <t xml:space="preserve">D GROUNDWORK
D20 EXCAVATING AND FILLING
Filling to make up levels
Average thickness exceeding 0.25 m
</t>
    </r>
    <r>
      <rPr>
        <sz val="11"/>
        <rFont val="Arial"/>
      </rPr>
      <t>obtained off site; 6F2/ 6F5 hardcore for making up levels</t>
    </r>
  </si>
  <si>
    <t>38/1/1</t>
  </si>
  <si>
    <t>Page Total : 38/1/1</t>
  </si>
  <si>
    <t>22-004I 10/03/2025 13:08:22 Page : 170</t>
  </si>
  <si>
    <t>Phase 6 - External Works</t>
  </si>
  <si>
    <t>39</t>
  </si>
  <si>
    <t>39/1/1</t>
  </si>
  <si>
    <t>22-004I 10/03/2025 13:08:22 Page : 171</t>
  </si>
  <si>
    <r>
      <rPr>
        <b/>
        <u/>
        <sz val="11"/>
        <rFont val="Arial"/>
      </rPr>
      <t xml:space="preserve">E30 REINFORCEMENT FOR IN-SITU CONCRETE
High yield reinforcement allowances; include laps, tying wires and distance blocks
Bars
</t>
    </r>
    <r>
      <rPr>
        <sz val="11"/>
        <rFont val="Arial"/>
      </rPr>
      <t>bollard foundations; allow 150 kg/m³</t>
    </r>
  </si>
  <si>
    <t>39/1/2</t>
  </si>
  <si>
    <t>22-004I 10/03/2025 13:08:22 Page : 172</t>
  </si>
  <si>
    <r>
      <rPr>
        <b/>
        <u/>
        <sz val="11"/>
        <rFont val="Arial"/>
      </rPr>
      <t xml:space="preserve">Q22 COATED MACADAM / ASPHALT ROADS / PAVINGS
Proposed tarmac footway overlay construction consisting of 25 thick 6 aggregate DBM 190 pen surface course of 55 thick 20 aggregate DBN 190 pen binder course; as drawing XX-DR-D-00201; overall thickness: 80 thick
Pavings
</t>
    </r>
    <r>
      <rPr>
        <sz val="11"/>
        <rFont val="Arial"/>
      </rPr>
      <t>level and to falls only</t>
    </r>
  </si>
  <si>
    <t>1000 high manually removable</t>
  </si>
  <si>
    <t>39/1/3</t>
  </si>
  <si>
    <t>Page Total : 39/1/1</t>
  </si>
  <si>
    <t>Page Total : 39/1/2</t>
  </si>
  <si>
    <t>Page Total : 39/1/3</t>
  </si>
  <si>
    <t>22-004I 10/03/2025 13:08:22 Page : 174</t>
  </si>
  <si>
    <t>Phase 6 - Drainage</t>
  </si>
  <si>
    <t>40</t>
  </si>
  <si>
    <t>40/1/1</t>
  </si>
  <si>
    <t>Page Total : 40/1/1</t>
  </si>
  <si>
    <t>22-004I 10/03/2025 13:08:22 Page : 176</t>
  </si>
  <si>
    <t>Phase 6 - External Services</t>
  </si>
  <si>
    <t>41</t>
  </si>
  <si>
    <r>
      <rPr>
        <b/>
        <u/>
        <sz val="11"/>
        <rFont val="Arial"/>
      </rPr>
      <t xml:space="preserve">P BUILDING FABRIC SUNDRIES
P30 TRENCHES / PIPEWAYS / PITS FOR BURIED ENGINEERING SERVICES
Excavating trenches; include for disposal of surplus excavated material off site, earthwork support of trench bottom, backfill with imported granular material obtained off site
For services; not exceeding 200 nominal size
</t>
    </r>
    <r>
      <rPr>
        <sz val="11"/>
        <rFont val="Arial"/>
      </rPr>
      <t>750 average depth; to accommodate external lighting ducts</t>
    </r>
  </si>
  <si>
    <t>750 average depth; to HV Ducts</t>
  </si>
  <si>
    <t>for HV ducts</t>
  </si>
  <si>
    <t>41/1/1</t>
  </si>
  <si>
    <t>22-004I 10/03/2025 13:08:22 Page : 177</t>
  </si>
  <si>
    <r>
      <rPr>
        <b/>
        <u/>
        <sz val="11"/>
        <rFont val="Arial"/>
      </rPr>
      <t xml:space="preserve">Stop cock pits, valve chambers and the like
Draw pits
</t>
    </r>
    <r>
      <rPr>
        <sz val="11"/>
        <rFont val="Arial"/>
      </rPr>
      <t>for external lighting</t>
    </r>
  </si>
  <si>
    <r>
      <rPr>
        <b/>
        <u/>
        <sz val="11"/>
        <rFont val="Arial"/>
      </rPr>
      <t xml:space="preserve">Water meters
</t>
    </r>
    <r>
      <rPr>
        <sz val="11"/>
        <rFont val="Arial"/>
      </rPr>
      <t>water mains</t>
    </r>
  </si>
  <si>
    <t>diameter unknown for HV ducts</t>
  </si>
  <si>
    <t>connection into substation; DNO feeder cables/ LV duct</t>
  </si>
  <si>
    <t>connection into substation; HV</t>
  </si>
  <si>
    <t>connection into water meter; water main</t>
  </si>
  <si>
    <t>connection into existing water mains; water main</t>
  </si>
  <si>
    <t>connection into POC; HV</t>
  </si>
  <si>
    <t>41/1/2</t>
  </si>
  <si>
    <t>22-004I 10/03/2025 13:08:22 Page : 178</t>
  </si>
  <si>
    <t>for 3 no. water mains duct</t>
  </si>
  <si>
    <t>HV ducts</t>
  </si>
  <si>
    <t>41/1/3</t>
  </si>
  <si>
    <t>Page Total : 41/1/1</t>
  </si>
  <si>
    <t>Page Total : 41/1/2</t>
  </si>
  <si>
    <t>Page Total : 41/1/3</t>
  </si>
  <si>
    <t>22-004I 10/03/2025 13:08:22 Page : 180</t>
  </si>
  <si>
    <t>Phase 7 - Cut &amp; Fill</t>
  </si>
  <si>
    <t>42</t>
  </si>
  <si>
    <r>
      <rPr>
        <b/>
        <u/>
        <sz val="11"/>
        <rFont val="Arial"/>
      </rPr>
      <t xml:space="preserve">Concrete ground floor slab; with reinforcement
</t>
    </r>
    <r>
      <rPr>
        <sz val="11"/>
        <rFont val="Arial"/>
      </rPr>
      <t>depth to be confirmed on site</t>
    </r>
  </si>
  <si>
    <r>
      <rPr>
        <b/>
        <u/>
        <sz val="11"/>
        <rFont val="Arial"/>
      </rPr>
      <t xml:space="preserve">Foundations
</t>
    </r>
    <r>
      <rPr>
        <sz val="11"/>
        <rFont val="Arial"/>
      </rPr>
      <t>Break out existing foundations to Trafford Court Block B; to a depth of 1m</t>
    </r>
  </si>
  <si>
    <t>Hot spot of hazardous materials in TP09 identified in Arc environmental report 12th September 2024. Assumed 5m x 5m x 5m deep</t>
  </si>
  <si>
    <t>42/1/1</t>
  </si>
  <si>
    <t>Page Total : 42/1/1</t>
  </si>
  <si>
    <t>22-004I 10/03/2025 13:08:22 Page : 182</t>
  </si>
  <si>
    <t>Phase 7 - External Works</t>
  </si>
  <si>
    <t>43</t>
  </si>
  <si>
    <t>43/1/1</t>
  </si>
  <si>
    <t>22-004I 10/03/2025 13:08:22 Page : 183</t>
  </si>
  <si>
    <t>43/1/2</t>
  </si>
  <si>
    <t>22-004I 10/03/2025 13:08:22 Page : 184</t>
  </si>
  <si>
    <r>
      <rPr>
        <b/>
        <u/>
        <sz val="11"/>
        <rFont val="Arial"/>
      </rPr>
      <t xml:space="preserve">Sides of foundations
Plain, vertical
</t>
    </r>
    <r>
      <rPr>
        <sz val="11"/>
        <rFont val="Arial"/>
      </rPr>
      <t>500 to 1 m high</t>
    </r>
  </si>
  <si>
    <r>
      <rPr>
        <b/>
        <u/>
        <sz val="11"/>
        <rFont val="Arial"/>
      </rPr>
      <t xml:space="preserve">F MASONRY
F21 NATURAL STONE MASONRY WALLING / DRESSINGS
Natural stone walling to Contractor's choice; laid in half lap stretcher bond in approved mortar with approved joints
Walls
</t>
    </r>
    <r>
      <rPr>
        <sz val="11"/>
        <rFont val="Arial"/>
      </rPr>
      <t>250 thick</t>
    </r>
  </si>
  <si>
    <r>
      <rPr>
        <b/>
        <u/>
        <sz val="11"/>
        <rFont val="Arial"/>
      </rPr>
      <t xml:space="preserve">F30 ACCESSORIES / SUNDRY ITEMS FOR BRICK / BLOCK / STONE WALLING
Damp proof courses
Damp proof courses
</t>
    </r>
    <r>
      <rPr>
        <sz val="11"/>
        <rFont val="Arial"/>
      </rPr>
      <t>width exceeding 225; horizontal</t>
    </r>
  </si>
  <si>
    <r>
      <rPr>
        <b/>
        <u/>
        <sz val="11"/>
        <rFont val="Arial"/>
      </rPr>
      <t xml:space="preserve">F31 PRECAST CONCRETE SILLS / LINTELS / COPINGS / FEATURES
Once weathered coping system to Contractor's choice
Copings
</t>
    </r>
    <r>
      <rPr>
        <sz val="11"/>
        <rFont val="Arial"/>
      </rPr>
      <t>350 wide x 75-50 thick; assumed</t>
    </r>
  </si>
  <si>
    <t>43/1/3</t>
  </si>
  <si>
    <t>22-004I 10/03/2025 13:08:22 Page : 185</t>
  </si>
  <si>
    <t>43/1/4</t>
  </si>
  <si>
    <t>22-004I 10/03/2025 13:08:22 Page : 186</t>
  </si>
  <si>
    <t>43/1/5</t>
  </si>
  <si>
    <t>22-004I 10/03/2025 13:08:22 Page : 187</t>
  </si>
  <si>
    <t>43/1/6</t>
  </si>
  <si>
    <t>22-004I 10/03/2025 13:08:22 Page : 188</t>
  </si>
  <si>
    <r>
      <rPr>
        <b/>
        <u/>
        <sz val="11"/>
        <rFont val="Arial"/>
      </rPr>
      <t xml:space="preserve">Q50 SITE / STREET FURNITURE / EQUIPMENT
Fixtures, furnishings and equipment not associated with services
Art installation; details to be confirmed; allow for concrete base and installation of art
</t>
    </r>
    <r>
      <rPr>
        <sz val="11"/>
        <rFont val="Arial"/>
      </rPr>
      <t>generally</t>
    </r>
  </si>
  <si>
    <r>
      <rPr>
        <b/>
        <u/>
        <sz val="11"/>
        <rFont val="Arial"/>
      </rPr>
      <t xml:space="preserve">Hoarding Artwork
</t>
    </r>
    <r>
      <rPr>
        <sz val="11"/>
        <rFont val="Arial"/>
      </rPr>
      <t>Hoarding artwork</t>
    </r>
  </si>
  <si>
    <r>
      <rPr>
        <b/>
        <u/>
        <sz val="11"/>
        <rFont val="Arial"/>
      </rPr>
      <t xml:space="preserve">Planter; by Iota, product reference: custom steel planter, polyester powder coated
</t>
    </r>
    <r>
      <rPr>
        <sz val="11"/>
        <rFont val="Arial"/>
      </rPr>
      <t>size 1950 long x 700 wide x 500 high</t>
    </r>
  </si>
  <si>
    <t>43/1/7</t>
  </si>
  <si>
    <t>22-004I 10/03/2025 13:08:22 Page : 189</t>
  </si>
  <si>
    <r>
      <rPr>
        <b/>
        <u/>
        <sz val="11"/>
        <rFont val="Arial"/>
      </rPr>
      <t xml:space="preserve">Fixtures, furnishings and equipment not associated with services
Bollards; by Townscape, product reference: CT40 N2/02 mild steel counter terror bollard, galvanised and polyester powder coated, RAL 7026
</t>
    </r>
    <r>
      <rPr>
        <sz val="11"/>
        <rFont val="Arial"/>
      </rPr>
      <t>1000 high</t>
    </r>
  </si>
  <si>
    <t>Steel planter surrounds ; circa 2000w x 750d x 1000h</t>
  </si>
  <si>
    <t>43/1/8</t>
  </si>
  <si>
    <t>Page Total : 43/1/1</t>
  </si>
  <si>
    <t>Page Total : 43/1/2</t>
  </si>
  <si>
    <t>Page Total : 43/1/3</t>
  </si>
  <si>
    <t>Page Total : 43/1/4</t>
  </si>
  <si>
    <t>Page Total : 43/1/5</t>
  </si>
  <si>
    <t>Page Total : 43/1/6</t>
  </si>
  <si>
    <t>Page Total : 43/1/7</t>
  </si>
  <si>
    <t>Page Total : 43/1/8</t>
  </si>
  <si>
    <t>22-004I 10/03/2025 13:08:22 Page : 191</t>
  </si>
  <si>
    <t>Phase 7 - Drainage</t>
  </si>
  <si>
    <t>44</t>
  </si>
  <si>
    <r>
      <rPr>
        <b/>
        <u/>
        <sz val="11"/>
        <rFont val="Arial"/>
      </rPr>
      <t xml:space="preserve">R DISPOSAL SYSTEMS
R12 DRAINAGE BELOW GROUND
Excavating trenches; include for disposal of surplus excavated material off site, earthwork support, consolidation of trench bottom, working space and backfill with selected excavated material
For pipes; not exceeding 200 nominal size
</t>
    </r>
    <r>
      <rPr>
        <sz val="11"/>
        <rFont val="Arial"/>
      </rPr>
      <t>750 average depth</t>
    </r>
  </si>
  <si>
    <r>
      <rPr>
        <b/>
        <u/>
        <sz val="11"/>
        <rFont val="Arial"/>
      </rPr>
      <t xml:space="preserve">For pipes; 225 nominal size
</t>
    </r>
    <r>
      <rPr>
        <sz val="11"/>
        <rFont val="Arial"/>
      </rPr>
      <t>1250 average depth</t>
    </r>
  </si>
  <si>
    <r>
      <rPr>
        <b/>
        <u/>
        <sz val="11"/>
        <rFont val="Arial"/>
      </rPr>
      <t xml:space="preserve">Beds and surrounds
Granular material; Type S1; obtained off site; as drawing DGW1-BJB-Z0-SL-DR-C-00610
</t>
    </r>
    <r>
      <rPr>
        <sz val="11"/>
        <rFont val="Arial"/>
      </rPr>
      <t>525 x 150 bed; surround 150 thick; for pipe 225 nominal size</t>
    </r>
  </si>
  <si>
    <t>44/1/1</t>
  </si>
  <si>
    <t>22-004I 10/03/2025 13:08:22 Page : 192</t>
  </si>
  <si>
    <r>
      <rPr>
        <b/>
        <u/>
        <sz val="11"/>
        <rFont val="Arial"/>
      </rPr>
      <t xml:space="preserve">Manholes
Precast concrete manhole type 2; sections and cover slab bedded with mortar, plastomeric or elastomeric seal; high strength concrete topping; GEN3 insitu concrete base and surround; minimum 2 courses of class B engineering bricks or precast concrete cover frame seating rings; mortar bedding and haunching to cover and frame; as drawing DGW1-BJB-Z0-SL-DR-C-00610; include for all excavation, disposal of surplus excavated material off site, earthwork support and backfill
</t>
    </r>
    <r>
      <rPr>
        <sz val="11"/>
        <rFont val="Arial"/>
      </rPr>
      <t>1200 diameter, 1000 average depth; cover class B125</t>
    </r>
  </si>
  <si>
    <t>44/1/2</t>
  </si>
  <si>
    <t>22-004I 10/03/2025 13:08:22 Page : 193</t>
  </si>
  <si>
    <r>
      <rPr>
        <b/>
        <u/>
        <sz val="11"/>
        <rFont val="Arial"/>
      </rPr>
      <t xml:space="preserve">Work to existing
Excavate and expose existing surface water manhole; connect 1 no. new 225 diameter surface water pipe; include for all excavation, disposal of surplus excavated material off site, earthwork support and backfill
</t>
    </r>
    <r>
      <rPr>
        <sz val="11"/>
        <rFont val="Arial"/>
      </rPr>
      <t>1250 average depth</t>
    </r>
  </si>
  <si>
    <t>44/1/3</t>
  </si>
  <si>
    <t>Page Total : 44/1/1</t>
  </si>
  <si>
    <t>Page Total : 44/1/2</t>
  </si>
  <si>
    <t>Page Total : 44/1/3</t>
  </si>
  <si>
    <t>22-004I 10/03/2025 13:08:22 Page : 195</t>
  </si>
  <si>
    <t>Phase 7 - External Services</t>
  </si>
  <si>
    <t>45</t>
  </si>
  <si>
    <r>
      <rPr>
        <b/>
        <u/>
        <sz val="11"/>
        <rFont val="Arial"/>
      </rPr>
      <t xml:space="preserve">Stop cock pits, valve chambers and the like
Draw pits
</t>
    </r>
    <r>
      <rPr>
        <sz val="11"/>
        <rFont val="Arial"/>
      </rPr>
      <t>external lighting ducts</t>
    </r>
  </si>
  <si>
    <r>
      <rPr>
        <b/>
        <u/>
        <sz val="11"/>
        <rFont val="Arial"/>
      </rPr>
      <t xml:space="preserve">Bollards
</t>
    </r>
    <r>
      <rPr>
        <sz val="11"/>
        <rFont val="Arial"/>
      </rPr>
      <t>for external lighting</t>
    </r>
  </si>
  <si>
    <r>
      <rPr>
        <b/>
        <u/>
        <sz val="11"/>
        <rFont val="Arial"/>
      </rPr>
      <t xml:space="preserve">Items extra over the duct in which they occur
Special treatment to ends
</t>
    </r>
    <r>
      <rPr>
        <sz val="11"/>
        <rFont val="Arial"/>
      </rPr>
      <t>connection into bollards; external lighting</t>
    </r>
  </si>
  <si>
    <t>45/1/1</t>
  </si>
  <si>
    <t>22-004I 10/03/2025 13:08:22 Page : 196</t>
  </si>
  <si>
    <t>45/1/2</t>
  </si>
  <si>
    <t>Page Total : 45/1/1</t>
  </si>
  <si>
    <t>Page Total : 45/1/2</t>
  </si>
  <si>
    <t>22-004I 10/03/2025 13:08:22 Page : 198</t>
  </si>
  <si>
    <t>Phase 8.1 (278 Wks) - Cut &amp; Fill</t>
  </si>
  <si>
    <t>46</t>
  </si>
  <si>
    <r>
      <rPr>
        <b/>
        <u/>
        <sz val="11"/>
        <rFont val="Arial"/>
      </rPr>
      <t xml:space="preserve">C EXISTING SITE / BUILDINGS / SERVICES
C90 ALTERATIONS - SPOT ITEMS
Removing fittings and fixtures
Existing gully pot, grate and frame to be taken up and removed from site, resulting void to be infilled with ST5 concrete mix and vibrated to remove any air bubbles
</t>
    </r>
    <r>
      <rPr>
        <sz val="11"/>
        <rFont val="Arial"/>
      </rPr>
      <t>generally</t>
    </r>
  </si>
  <si>
    <r>
      <rPr>
        <b/>
        <u/>
        <sz val="11"/>
        <rFont val="Arial"/>
      </rPr>
      <t xml:space="preserve">Existing lighting column, bracket and luminaire to be taken down and removed off site by Contractor, to be repositioned to back of the footway, exact works to be confirmed by Doncaster Street lighting, existing columns will have their disconnection, removal and disposal by CoDC
</t>
    </r>
    <r>
      <rPr>
        <sz val="11"/>
        <rFont val="Arial"/>
      </rPr>
      <t>generally</t>
    </r>
  </si>
  <si>
    <r>
      <rPr>
        <b/>
        <u/>
        <sz val="11"/>
        <rFont val="Arial"/>
      </rPr>
      <t xml:space="preserve">Existing manhole/ inspection chambers, covers and frames to be adjusted to match new levels in carriageway, new D400 covers required and class B Engineering brick with class 1 mortar bed to be finished surface course, any polished or damaged covers will need replacing
</t>
    </r>
    <r>
      <rPr>
        <sz val="11"/>
        <rFont val="Arial"/>
      </rPr>
      <t>generally</t>
    </r>
  </si>
  <si>
    <t>46/1/1</t>
  </si>
  <si>
    <t>22-004I 10/03/2025 13:08:22 Page : 199</t>
  </si>
  <si>
    <r>
      <rPr>
        <b/>
        <u/>
        <sz val="11"/>
        <rFont val="Arial"/>
      </rPr>
      <t xml:space="preserve">Works to existing
Existing manhole/ inspection chambers, covers and frames located in the footway to be adjusted to match new levels, new covers and frames to be used
</t>
    </r>
    <r>
      <rPr>
        <sz val="11"/>
        <rFont val="Arial"/>
      </rPr>
      <t>generally</t>
    </r>
  </si>
  <si>
    <r>
      <rPr>
        <b/>
        <u/>
        <sz val="11"/>
        <rFont val="Arial"/>
      </rPr>
      <t xml:space="preserve">D GROUNDWORK
D20 EXCAVATING AND FILLING
Site preparation
General site clearance; and existing road markings to be removed
</t>
    </r>
    <r>
      <rPr>
        <sz val="11"/>
        <rFont val="Arial"/>
      </rPr>
      <t>generally</t>
    </r>
  </si>
  <si>
    <r>
      <rPr>
        <b/>
        <u/>
        <sz val="11"/>
        <rFont val="Arial"/>
      </rPr>
      <t xml:space="preserve">Breaking out existing materials
Break out existing kerb/ channel/ edging plus concrete bed and haunch; to be either reused or recycled for fill
</t>
    </r>
    <r>
      <rPr>
        <sz val="11"/>
        <rFont val="Arial"/>
      </rPr>
      <t>generally</t>
    </r>
  </si>
  <si>
    <t>46/1/2</t>
  </si>
  <si>
    <t>Page Total : 46/1/1</t>
  </si>
  <si>
    <t>Page Total : 46/1/2</t>
  </si>
  <si>
    <t>22-004I 10/03/2025 13:08:22 Page : 201</t>
  </si>
  <si>
    <t>Phase 8.1 (278 Wks) - External Works</t>
  </si>
  <si>
    <t>47</t>
  </si>
  <si>
    <r>
      <rPr>
        <b/>
        <u/>
        <sz val="11"/>
        <rFont val="Arial"/>
      </rPr>
      <t xml:space="preserve">Q PAVING / PLANTING / FENCING / SITE FURNITURE
Q10 KERBS / EDGINGS / CHANNELS / PAVING ACCESSORIES
Precast concrete kerbs by Marshalls PLC, product reference: precast concrete/ conservation kerbs; allow for all necessary excavation, disposal, consolidation of trench bottom; ST4 concrete bed and haunch; backfill with selected excavated material; make allowance for R10/R12 dowel bars, 220 long where required
Kerbs
</t>
    </r>
    <r>
      <rPr>
        <sz val="11"/>
        <rFont val="Arial"/>
      </rPr>
      <t>size 915 x 125 x 255; HB PCC; K1</t>
    </r>
  </si>
  <si>
    <t>size 915 x 125 x 250; conservation K2</t>
  </si>
  <si>
    <t>size 915 x 145 x 145; conservation kerb</t>
  </si>
  <si>
    <r>
      <rPr>
        <b/>
        <u/>
        <sz val="11"/>
        <rFont val="Arial"/>
      </rPr>
      <t xml:space="preserve">Q22 COATED MACADAM / ASPHALT ROADS / PAVINGS
Temporary carriageway construction; new carriageway build up, wearing course not placed; temporary sacrificial macadam approx 140 thick to provide temporary roadway; as drawing XX-DR-D-0411 P01
Roads
</t>
    </r>
    <r>
      <rPr>
        <sz val="11"/>
        <rFont val="Arial"/>
      </rPr>
      <t>level and to falls only</t>
    </r>
  </si>
  <si>
    <t>47/1/1</t>
  </si>
  <si>
    <t>22-004I 10/03/2025 13:08:22 Page : 202</t>
  </si>
  <si>
    <r>
      <rPr>
        <b/>
        <u/>
        <sz val="11"/>
        <rFont val="Arial"/>
      </rPr>
      <t xml:space="preserve">Temporary footway construction; temporary sacrificial macadam 100 thick above new finished level with road plates where required to protect utilities; as drawing XX-DR-D-0411 P01
Pavings
</t>
    </r>
    <r>
      <rPr>
        <sz val="11"/>
        <rFont val="Arial"/>
      </rPr>
      <t>level and to falls only</t>
    </r>
  </si>
  <si>
    <t>47/1/2</t>
  </si>
  <si>
    <t>Page Total : 47/1/1</t>
  </si>
  <si>
    <t>Page Total : 47/1/2</t>
  </si>
  <si>
    <t>22-004I 10/03/2025 13:08:22 Page : 204</t>
  </si>
  <si>
    <t>Phase 8.1 (278 Wks) - Drainage</t>
  </si>
  <si>
    <t>48</t>
  </si>
  <si>
    <r>
      <rPr>
        <b/>
        <u/>
        <sz val="11"/>
        <rFont val="Arial"/>
      </rPr>
      <t xml:space="preserve">Plain insitu concrete; grade RC20/25; include for movement joints at pipe joints; as drawing DGW1-BJB-Z0-SL-DR-C-00610
</t>
    </r>
    <r>
      <rPr>
        <sz val="11"/>
        <rFont val="Arial"/>
      </rPr>
      <t>450 x 150 bed; surround 150 thick; for pipe 150 nominal size</t>
    </r>
  </si>
  <si>
    <t>extra for; road gully</t>
  </si>
  <si>
    <t>48/1/1</t>
  </si>
  <si>
    <t>22-004I 10/03/2025 13:08:22 Page : 205</t>
  </si>
  <si>
    <r>
      <rPr>
        <b/>
        <u/>
        <sz val="11"/>
        <rFont val="Arial"/>
      </rPr>
      <t xml:space="preserve">Work to existing
Excavate, expose and remove existing road gully; connect 1 no. new 150 diameter surface water pipe into existing pipework; include for all excavation, disposal of surplus excavated material off site, earthwork support and backfill
</t>
    </r>
    <r>
      <rPr>
        <sz val="11"/>
        <rFont val="Arial"/>
      </rPr>
      <t>500 average depth</t>
    </r>
  </si>
  <si>
    <r>
      <rPr>
        <b/>
        <u/>
        <sz val="11"/>
        <rFont val="Arial"/>
      </rPr>
      <t xml:space="preserve">Excavate and expose existing combined sewer; connect 1 no. new 150 diameter surface water pipe; include for all excavation, disposal of surplus excavated material off site, earthwork support and backfill
</t>
    </r>
    <r>
      <rPr>
        <sz val="11"/>
        <rFont val="Arial"/>
      </rPr>
      <t>3250 average depth</t>
    </r>
  </si>
  <si>
    <t>extra for; deep excavation, allow for excessive earthwork support, working space and backfill; detail to be developed</t>
  </si>
  <si>
    <r>
      <rPr>
        <b/>
        <u/>
        <sz val="11"/>
        <rFont val="Arial"/>
      </rPr>
      <t xml:space="preserve">Breaking out and reinstating road surfacing and build ups for deep gully connections; include for all excavation, disposal of surplus excavated material off site, earthwork support and backfill
</t>
    </r>
    <r>
      <rPr>
        <sz val="11"/>
        <rFont val="Arial"/>
      </rPr>
      <t>as required</t>
    </r>
  </si>
  <si>
    <t>48/1/2</t>
  </si>
  <si>
    <t>Page Total : 48/1/1</t>
  </si>
  <si>
    <t>Page Total : 48/1/2</t>
  </si>
  <si>
    <t>22-004I 10/03/2025 13:08:22 Page : 207</t>
  </si>
  <si>
    <t>Phase 8.1 (278 Wks) - External Services</t>
  </si>
  <si>
    <t>49</t>
  </si>
  <si>
    <t>49/1/1</t>
  </si>
  <si>
    <t>Page Total : 49/1/1</t>
  </si>
  <si>
    <t>22-004I 10/03/2025 13:08:22 Page : 209</t>
  </si>
  <si>
    <t>Phase 8.2 (278 Wks) - Cut &amp; Fill</t>
  </si>
  <si>
    <t>50</t>
  </si>
  <si>
    <r>
      <rPr>
        <b/>
        <u/>
        <sz val="11"/>
        <rFont val="Arial"/>
      </rPr>
      <t xml:space="preserve">Existing CCTV column, bracket and luminaire to be taken down and removed off site by Contractor, to be repositioned to back of the footway, exact works to be confirmed by Doncaster Street lighting, existing columns will have their disconnection, removal and disposal by CoDC
</t>
    </r>
    <r>
      <rPr>
        <sz val="11"/>
        <rFont val="Arial"/>
      </rPr>
      <t>generally</t>
    </r>
  </si>
  <si>
    <r>
      <rPr>
        <b/>
        <u/>
        <sz val="11"/>
        <rFont val="Arial"/>
      </rPr>
      <t xml:space="preserve">Works to existing
Existing manhole/ inspection chambers, covers and frames to be adjusted to match new levels in carriageway, new D400 covers required and class B Engineering brick with class 1 mortar bed to be finished surface course, any polished or damaged covers will need replacing
</t>
    </r>
    <r>
      <rPr>
        <sz val="11"/>
        <rFont val="Arial"/>
      </rPr>
      <t>generally</t>
    </r>
  </si>
  <si>
    <t>50/1/1</t>
  </si>
  <si>
    <t>22-004I 10/03/2025 13:08:22 Page : 210</t>
  </si>
  <si>
    <r>
      <rPr>
        <b/>
        <u/>
        <sz val="11"/>
        <rFont val="Arial"/>
      </rPr>
      <t xml:space="preserve">Excavating
To reduce levels
</t>
    </r>
    <r>
      <rPr>
        <sz val="11"/>
        <rFont val="Arial"/>
      </rPr>
      <t>0.25 m maximum depth</t>
    </r>
  </si>
  <si>
    <r>
      <rPr>
        <b/>
        <u/>
        <sz val="11"/>
        <rFont val="Arial"/>
      </rPr>
      <t xml:space="preserve">Breaking out existing hard pavings
Existing road/ footpath or paving to be broken out
</t>
    </r>
    <r>
      <rPr>
        <sz val="11"/>
        <rFont val="Arial"/>
      </rPr>
      <t>depth to be confirmed on site</t>
    </r>
  </si>
  <si>
    <t>50/1/2</t>
  </si>
  <si>
    <t>22-004I 10/03/2025 13:08:22 Page : 211</t>
  </si>
  <si>
    <t>50/1/3</t>
  </si>
  <si>
    <t>Page Total : 50/1/1</t>
  </si>
  <si>
    <t>Page Total : 50/1/2</t>
  </si>
  <si>
    <t>Page Total : 50/1/3</t>
  </si>
  <si>
    <t>22-004I 10/03/2025 13:08:22 Page : 213</t>
  </si>
  <si>
    <t>Phase 8.2 (278 Wks) - External Works</t>
  </si>
  <si>
    <t>51</t>
  </si>
  <si>
    <t>51/1/1</t>
  </si>
  <si>
    <t>22-004I 10/03/2025 13:08:22 Page : 214</t>
  </si>
  <si>
    <r>
      <rPr>
        <b/>
        <u/>
        <sz val="11"/>
        <rFont val="Arial"/>
      </rPr>
      <t xml:space="preserve">Flagged footway sub-base; regulate with binder course material where required; depth as required; as drawing XX-DR-D-0412 P01
Pavings
</t>
    </r>
    <r>
      <rPr>
        <sz val="11"/>
        <rFont val="Arial"/>
      </rPr>
      <t>level and to falls only</t>
    </r>
  </si>
  <si>
    <r>
      <rPr>
        <b/>
        <u/>
        <sz val="11"/>
        <rFont val="Arial"/>
      </rPr>
      <t xml:space="preserve">Temporary footway construction; temporary sacrificial macadam 100 thick above new finished level with road plates where required to protect utilities; as drawing XX-DR-D-0412 P01
Pavings
</t>
    </r>
    <r>
      <rPr>
        <sz val="11"/>
        <rFont val="Arial"/>
      </rPr>
      <t>level and to falls only</t>
    </r>
  </si>
  <si>
    <r>
      <rPr>
        <b/>
        <u/>
        <sz val="11"/>
        <rFont val="Arial"/>
      </rPr>
      <t xml:space="preserve">Q25 SLAB / BRICK / BLOCK / SETT / COBBLE PAVINGS
Concrete pavers by Hardscape, product reference: Kellen breccia, colour: giallo, size to be confirmed x 80 thick
Pavings
</t>
    </r>
    <r>
      <rPr>
        <sz val="11"/>
        <rFont val="Arial"/>
      </rPr>
      <t>level and to falls only</t>
    </r>
  </si>
  <si>
    <t>51/1/2</t>
  </si>
  <si>
    <t>22-004I 10/03/2025 13:08:22 Page : 215</t>
  </si>
  <si>
    <t>51/1/3</t>
  </si>
  <si>
    <t>Page Total : 51/1/1</t>
  </si>
  <si>
    <t>Page Total : 51/1/2</t>
  </si>
  <si>
    <t>Page Total : 51/1/3</t>
  </si>
  <si>
    <t>22-004I 10/03/2025 13:08:22 Page : 217</t>
  </si>
  <si>
    <t>Phase 8.2 (278 Wks) - Drainage</t>
  </si>
  <si>
    <t>52</t>
  </si>
  <si>
    <t>52/1/1</t>
  </si>
  <si>
    <t>22-004I 10/03/2025 13:08:22 Page : 218</t>
  </si>
  <si>
    <t>52/1/2</t>
  </si>
  <si>
    <t>Page Total : 52/1/1</t>
  </si>
  <si>
    <t>Page Total : 52/1/2</t>
  </si>
  <si>
    <t>22-004I 10/03/2025 13:08:22 Page : 220</t>
  </si>
  <si>
    <t>Phase 8.2 (278 Wks) - External Services</t>
  </si>
  <si>
    <t>53</t>
  </si>
  <si>
    <r>
      <rPr>
        <b/>
        <u/>
        <sz val="11"/>
        <rFont val="Arial"/>
      </rPr>
      <t xml:space="preserve">Items extra over the duct in which they occur
Special treatment to ends
</t>
    </r>
    <r>
      <rPr>
        <sz val="11"/>
        <rFont val="Arial"/>
      </rPr>
      <t>connection into water meter; water main</t>
    </r>
  </si>
  <si>
    <t>53/1/1</t>
  </si>
  <si>
    <t>22-004I 10/03/2025 13:08:22 Page : 221</t>
  </si>
  <si>
    <r>
      <rPr>
        <b/>
        <u/>
        <sz val="11"/>
        <rFont val="Arial"/>
      </rPr>
      <t xml:space="preserve">Builders work
Allow for cutting holes, chases etc and building in ducts for main services
</t>
    </r>
    <r>
      <rPr>
        <sz val="11"/>
        <rFont val="Arial"/>
      </rPr>
      <t>water mains</t>
    </r>
  </si>
  <si>
    <t>53/1/2</t>
  </si>
  <si>
    <t>Page Total : 53/1/1</t>
  </si>
  <si>
    <t>Page Total : 53/1/2</t>
  </si>
  <si>
    <t>22-004I 10/03/2025 13:08:22 Page : 223</t>
  </si>
  <si>
    <t>Phase 8.3 (278 Wks) - Cut &amp; Fill</t>
  </si>
  <si>
    <t>54</t>
  </si>
  <si>
    <r>
      <rPr>
        <b/>
        <u/>
        <sz val="11"/>
        <rFont val="Arial"/>
      </rPr>
      <t xml:space="preserve">C EXISTING SITE / BUILDINGS / SERVICES
C90 ALTERATIONS - SPOT ITEMS
Removing fittings and fixtures
Existing manhole/ inspection chambers, covers and frames to be adjusted to match new levels in carriageway, new D400 covers required and class B Engineering brick with class 1 mortar bed to be finished surface course, any polished or damaged covers will need replacing
</t>
    </r>
    <r>
      <rPr>
        <sz val="11"/>
        <rFont val="Arial"/>
      </rPr>
      <t>generally</t>
    </r>
  </si>
  <si>
    <r>
      <rPr>
        <b/>
        <u/>
        <sz val="11"/>
        <rFont val="Arial"/>
      </rPr>
      <t xml:space="preserve">Excavating
To reduce levels
</t>
    </r>
    <r>
      <rPr>
        <sz val="11"/>
        <rFont val="Arial"/>
      </rPr>
      <t>1 m maximum depth</t>
    </r>
  </si>
  <si>
    <t>54/1/1</t>
  </si>
  <si>
    <t>22-004I 10/03/2025 13:08:22 Page : 224</t>
  </si>
  <si>
    <t>54/1/2</t>
  </si>
  <si>
    <t>Page Total : 54/1/1</t>
  </si>
  <si>
    <t>Page Total : 54/1/2</t>
  </si>
  <si>
    <t>22-004I 10/03/2025 13:08:22 Page : 226</t>
  </si>
  <si>
    <t>Phase 8.3 (278 Wks) - External Works</t>
  </si>
  <si>
    <t>55</t>
  </si>
  <si>
    <r>
      <rPr>
        <b/>
        <u/>
        <sz val="11"/>
        <rFont val="Arial"/>
      </rPr>
      <t xml:space="preserve">Q PAVING / PLANTING / FENCING / SITE FURNITURE
Q10 KERBS / EDGINGS / CHANNELS / PAVING ACCESSORIES
Precast concrete kerbs by Marshalls PLC, product reference: precast concrete/ conservation kerbs; allow for all necessary excavation, disposal, consolidation of trench bottom; ST4 concrete bed and haunch; backfill with selected excavated material; make allowance for R10/R12 dowel bars, 220 long where required
Kerbs
</t>
    </r>
    <r>
      <rPr>
        <sz val="11"/>
        <rFont val="Arial"/>
      </rPr>
      <t>size 915 x 125 x 250; conservation K2</t>
    </r>
  </si>
  <si>
    <t>55/1/1</t>
  </si>
  <si>
    <t>22-004I 10/03/2025 13:08:22 Page : 227</t>
  </si>
  <si>
    <r>
      <rPr>
        <b/>
        <u/>
        <sz val="11"/>
        <rFont val="Arial"/>
      </rPr>
      <t xml:space="preserve">Q22 COATED MACADAM / ASPHALT ROADS / PAVINGS
Proposed carriageway overlay; coldmill to receive to finished levels; 40 thick 10 thick SMA 50 pen h/stone surface course and 60 thick AC20 heavy duty dense bin 40/60 binder course; regulate with binder course material where required; as drawing XX-DR-D-0413 P01
Roads
</t>
    </r>
    <r>
      <rPr>
        <sz val="11"/>
        <rFont val="Arial"/>
      </rPr>
      <t>level and to falls only</t>
    </r>
  </si>
  <si>
    <r>
      <rPr>
        <b/>
        <u/>
        <sz val="11"/>
        <rFont val="Arial"/>
      </rPr>
      <t xml:space="preserve">Flag footway sub-base regulated with binder course where required; as drawing XX-DR-D-0413 P01
Pavings
</t>
    </r>
    <r>
      <rPr>
        <sz val="11"/>
        <rFont val="Arial"/>
      </rPr>
      <t>level and to falls only</t>
    </r>
  </si>
  <si>
    <t>55/1/2</t>
  </si>
  <si>
    <t>Page Total : 55/1/1</t>
  </si>
  <si>
    <t>Page Total : 55/1/2</t>
  </si>
  <si>
    <t>22-004I 10/03/2025 13:08:22 Page : 229</t>
  </si>
  <si>
    <t>Phase 8.3 (278 Wks) - Drainage</t>
  </si>
  <si>
    <t>56</t>
  </si>
  <si>
    <r>
      <rPr>
        <b/>
        <u/>
        <sz val="11"/>
        <rFont val="Arial"/>
      </rPr>
      <t xml:space="preserve">R DISPOSAL SYSTEMS
R12 DRAINAGE BELOW GROUND
Excavating trenches; include for disposal of surplus excavated material off site, earthwork support, consolidation of trench bottom, working space and backfill with selected excavated material
For pipes; not exceeding 200 nominal size
</t>
    </r>
    <r>
      <rPr>
        <sz val="11"/>
        <rFont val="Arial"/>
      </rPr>
      <t>1750 average depth</t>
    </r>
  </si>
  <si>
    <r>
      <rPr>
        <b/>
        <u/>
        <sz val="11"/>
        <rFont val="Arial"/>
      </rPr>
      <t xml:space="preserve">Work to existing
Excavate and expose existing combined sewer; connect 1 no. new 150 diameter surface water pipe; include for all excavation, disposal of surplus excavated material off site, earthwork support and backfill
</t>
    </r>
    <r>
      <rPr>
        <sz val="11"/>
        <rFont val="Arial"/>
      </rPr>
      <t>3250 average depth</t>
    </r>
  </si>
  <si>
    <t>56/1/1</t>
  </si>
  <si>
    <t>22-004I 10/03/2025 13:08:22 Page : 230</t>
  </si>
  <si>
    <r>
      <rPr>
        <b/>
        <u/>
        <sz val="11"/>
        <rFont val="Arial"/>
      </rPr>
      <t xml:space="preserve">Work to existing
Breaking out and reinstating road surfacing and build ups for deep gully connections; include for all excavation, disposal of surplus excavated material off site, earthwork support and backfill
</t>
    </r>
    <r>
      <rPr>
        <sz val="11"/>
        <rFont val="Arial"/>
      </rPr>
      <t>as required</t>
    </r>
  </si>
  <si>
    <t>56/1/2</t>
  </si>
  <si>
    <t>Page Total : 56/1/1</t>
  </si>
  <si>
    <t>Page Total : 56/1/2</t>
  </si>
  <si>
    <t>22-004I 10/03/2025 13:08:22 Page : 232</t>
  </si>
  <si>
    <t>Phase 8.3 (278 Wks) - External Services</t>
  </si>
  <si>
    <t>57</t>
  </si>
  <si>
    <t>57/1/1</t>
  </si>
  <si>
    <t>Page Total : 57/1/1</t>
  </si>
  <si>
    <t>22-004I 10/03/2025 13:08:22 Page : 234</t>
  </si>
  <si>
    <t>Phase 8.4 (278 Wks) - Cut &amp; Fill</t>
  </si>
  <si>
    <t>58</t>
  </si>
  <si>
    <t>58/1/1</t>
  </si>
  <si>
    <t>Page Total : 58/1/1</t>
  </si>
  <si>
    <t>22-004I 10/03/2025 13:08:22 Page : 236</t>
  </si>
  <si>
    <t>Phase 8.4 (278 Wks) - External Works</t>
  </si>
  <si>
    <t>59</t>
  </si>
  <si>
    <t>59/1/1</t>
  </si>
  <si>
    <t>22-004I 10/03/2025 13:08:22 Page : 237</t>
  </si>
  <si>
    <r>
      <rPr>
        <b/>
        <u/>
        <sz val="11"/>
        <rFont val="Arial"/>
      </rPr>
      <t xml:space="preserve">Q22 COATED MACADAM / ASPHALT ROADS / PAVINGS
Proposed carriageway overlay; coldmill to receive to finished levels; 40 thick 10 thick SMA 50 pen h/stone surface course and 60 thick AC20 heavy duty dense bin 40/60 binder course; regulate with binder course material where required; as drawing XX-DR-D-0414 P01
Roads
</t>
    </r>
    <r>
      <rPr>
        <sz val="11"/>
        <rFont val="Arial"/>
      </rPr>
      <t>level and to falls only</t>
    </r>
  </si>
  <si>
    <r>
      <rPr>
        <b/>
        <u/>
        <sz val="11"/>
        <rFont val="Arial"/>
      </rPr>
      <t xml:space="preserve">Flag footway sub-base regulated with binder course where required; depth as required; as drawing XX-DR-D-0414 P01
Pavings
</t>
    </r>
    <r>
      <rPr>
        <sz val="11"/>
        <rFont val="Arial"/>
      </rPr>
      <t>level and to falls only</t>
    </r>
  </si>
  <si>
    <t>59/1/2</t>
  </si>
  <si>
    <t>Page Total : 59/1/1</t>
  </si>
  <si>
    <t>Page Total : 59/1/2</t>
  </si>
  <si>
    <t>22-004I 10/03/2025 13:08:22 Page : 239</t>
  </si>
  <si>
    <t>Phase 8.4 (278 Wks) - Drainage</t>
  </si>
  <si>
    <t>60</t>
  </si>
  <si>
    <t>60/1/1</t>
  </si>
  <si>
    <t>22-004I 10/03/2025 13:08:22 Page : 240</t>
  </si>
  <si>
    <t>60/1/2</t>
  </si>
  <si>
    <t>Page Total : 60/1/1</t>
  </si>
  <si>
    <t>Page Total : 60/1/2</t>
  </si>
  <si>
    <t>22-004I 10/03/2025 13:08:22 Page : 242</t>
  </si>
  <si>
    <t>Phase 8.4 (278 Wks) - External Services</t>
  </si>
  <si>
    <t>61</t>
  </si>
  <si>
    <t>61/1/1</t>
  </si>
  <si>
    <t>Page Total : 61/1/1</t>
  </si>
  <si>
    <t>22-004I 10/03/2025 13:08:22 Page : 244</t>
  </si>
  <si>
    <t>Phase 8.5 (278 Wks) - Cut &amp; Fill</t>
  </si>
  <si>
    <t>62</t>
  </si>
  <si>
    <t>62/1/1</t>
  </si>
  <si>
    <t>Page Total : 62/1/1</t>
  </si>
  <si>
    <t>22-004I 10/03/2025 13:08:22 Page : 246</t>
  </si>
  <si>
    <t>Phase 8.5 (278 Wks) - External Works</t>
  </si>
  <si>
    <t>63</t>
  </si>
  <si>
    <r>
      <rPr>
        <b/>
        <u/>
        <sz val="11"/>
        <rFont val="Arial"/>
      </rPr>
      <t xml:space="preserve">Q PAVING / PLANTING / FENCING / SITE FURNITURE
Q10 KERBS / EDGINGS / CHANNELS / PAVING ACCESSORIES
Precast concrete kerbs by Marshalls PLC, product reference: precast concrete/ conservation kerbs; allow for all necessary excavation, disposal, consolidation of trench bottom; ST4 concrete bed and haunch; backfill with selected excavated material; make allowance for R10/R12 dowel bars, 220 long where required
Kerbs
</t>
    </r>
    <r>
      <rPr>
        <sz val="11"/>
        <rFont val="Arial"/>
      </rPr>
      <t>size 915 x 125 x 250; conservation K3</t>
    </r>
  </si>
  <si>
    <r>
      <rPr>
        <b/>
        <u/>
        <sz val="11"/>
        <rFont val="Arial"/>
      </rPr>
      <t xml:space="preserve">Q22 COATED MACADAM / ASPHALT ROADS / PAVINGS
Proposed carriageway overlay; coldmill to receive to finished levels; 40 thick 10 thick SMA 50 pen h/stone surface course and 60 thick AC20 heavy duty dense bin 40/60 binder course; regulate with binder course material where required; as drawing XX-DR-D-0415 P01
Roads
</t>
    </r>
    <r>
      <rPr>
        <sz val="11"/>
        <rFont val="Arial"/>
      </rPr>
      <t>level and to falls only</t>
    </r>
  </si>
  <si>
    <r>
      <rPr>
        <b/>
        <u/>
        <sz val="11"/>
        <rFont val="Arial"/>
      </rPr>
      <t xml:space="preserve">Q26 SPECIAL SURFACINGS / PAVINGS FOR SPORT / GENERAL AMENITY
Thermoplastic white line markings; as drawing XX-D-D-0009 P03
Line marking
</t>
    </r>
    <r>
      <rPr>
        <sz val="11"/>
        <rFont val="Arial"/>
      </rPr>
      <t>100 wide</t>
    </r>
  </si>
  <si>
    <t>1004</t>
  </si>
  <si>
    <t>1010</t>
  </si>
  <si>
    <t>1003A</t>
  </si>
  <si>
    <t>63/1/1</t>
  </si>
  <si>
    <t>22-004I 10/03/2025 13:08:22 Page : 247</t>
  </si>
  <si>
    <r>
      <rPr>
        <b/>
        <u/>
        <sz val="11"/>
        <rFont val="Arial"/>
      </rPr>
      <t xml:space="preserve">Thermoplastic white line markings; as drawing XX-D-D-0009 P03
Line marking
</t>
    </r>
    <r>
      <rPr>
        <sz val="11"/>
        <rFont val="Arial"/>
      </rPr>
      <t>1009A</t>
    </r>
  </si>
  <si>
    <t>1023A</t>
  </si>
  <si>
    <t>1062</t>
  </si>
  <si>
    <t>1028.4 "Disabled"</t>
  </si>
  <si>
    <t>1028.4 "Loading only"</t>
  </si>
  <si>
    <t>1046 "no entry"</t>
  </si>
  <si>
    <r>
      <rPr>
        <b/>
        <u/>
        <sz val="11"/>
        <rFont val="Arial"/>
      </rPr>
      <t xml:space="preserve">Q50 SITE / STREET FURNITURE / EQUIPMENT
Fixtures, furnishings and equipment not associated with services
Signage; as drawing XX-D-D-0009
</t>
    </r>
    <r>
      <rPr>
        <sz val="11"/>
        <rFont val="Arial"/>
      </rPr>
      <t>sign reference RS001 and RS003</t>
    </r>
  </si>
  <si>
    <t>sign reference RS002</t>
  </si>
  <si>
    <t>sign reference RS001</t>
  </si>
  <si>
    <t>sign reference RS003</t>
  </si>
  <si>
    <t>63/1/2</t>
  </si>
  <si>
    <t>Page Total : 63/1/1</t>
  </si>
  <si>
    <t>Page Total : 63/1/2</t>
  </si>
  <si>
    <t>22-004I 10/03/2025 13:08:22 Page : 249</t>
  </si>
  <si>
    <t>Phase 8.5 (278 Wks) - Drainage</t>
  </si>
  <si>
    <t>64</t>
  </si>
  <si>
    <t>64/1/1</t>
  </si>
  <si>
    <t>Page Total : 64/1/1</t>
  </si>
  <si>
    <t>22-004I 10/03/2025 13:08:22 Page : 251</t>
  </si>
  <si>
    <t>Phase 8.5 (278 Wks) - External Services</t>
  </si>
  <si>
    <t>65</t>
  </si>
  <si>
    <t>65/1/1</t>
  </si>
  <si>
    <t>Page Total : 65/1/1</t>
  </si>
  <si>
    <t>22-004I 10/03/2025 13:08:22 Page : 253</t>
  </si>
  <si>
    <t>Phase 9 - Trafford Way Making Good Works</t>
  </si>
  <si>
    <t>66</t>
  </si>
  <si>
    <r>
      <rPr>
        <b/>
        <u/>
        <sz val="11"/>
        <rFont val="Arial"/>
      </rPr>
      <t xml:space="preserve">Risk items following construction period
Make an allowance for the following works
</t>
    </r>
    <r>
      <rPr>
        <sz val="11"/>
        <rFont val="Arial"/>
      </rPr>
      <t>making good existing areas damaged during construction period</t>
    </r>
  </si>
  <si>
    <t>drainage kerbs; cleaning existing drainage kerbs to keep them live; possible risk of damage and blockage</t>
  </si>
  <si>
    <r>
      <rPr>
        <b/>
        <u/>
        <sz val="11"/>
        <rFont val="Arial"/>
      </rPr>
      <t xml:space="preserve">Q22 COATED MACADAM / ASPHALT ROADS / PAVINGS
Proposed carriageway resurfacing; plane off 40 thick surface course and dispose; prepare surface, regulate with surface/ binder course as required, apply tack coat and lay 40 thick 10 SMA 50 pen H/stone surface course, PSV 60; overall thickness: 40 thick; as drawing XX-DR-D-00201
Roads
</t>
    </r>
    <r>
      <rPr>
        <sz val="11"/>
        <rFont val="Arial"/>
      </rPr>
      <t>level and to falls only</t>
    </r>
  </si>
  <si>
    <t>66/1/1</t>
  </si>
  <si>
    <t>22-004I 10/03/2025 13:08:22 Page : 254</t>
  </si>
  <si>
    <r>
      <rPr>
        <b/>
        <u/>
        <sz val="11"/>
        <rFont val="Arial"/>
      </rPr>
      <t xml:space="preserve">Proposed carriageway resurfacing; plane off 40 thick surface course and dispose; prepare surface, regulate with surface/ binder course as required, apply tack coat and lay 40 thick 10 SMA 50 pen H/stone surface course, PSV 60; overall thickness: 40 thick; as drawing XX-DR-D-00201
Extra for
</t>
    </r>
    <r>
      <rPr>
        <sz val="11"/>
        <rFont val="Arial"/>
      </rPr>
      <t>tie in detail; 900/600/300 wide</t>
    </r>
  </si>
  <si>
    <r>
      <rPr>
        <b/>
        <u/>
        <sz val="11"/>
        <rFont val="Arial"/>
      </rPr>
      <t xml:space="preserve">Q25 SLAB / BRICK / BLOCK / SETT / COBBLE PAVINGS
Make good retained existing granite paving adjacent to Traford Court and phases 1, 2 &amp; 7; make good as nceessary following construction works
Pavings
</t>
    </r>
    <r>
      <rPr>
        <sz val="11"/>
        <rFont val="Arial"/>
      </rPr>
      <t>level and to falls only (measured overall)</t>
    </r>
  </si>
  <si>
    <r>
      <rPr>
        <b/>
        <u/>
        <sz val="11"/>
        <rFont val="Arial"/>
      </rPr>
      <t xml:space="preserve">Q26 SPECIAL SURFACINGS / PAVINGS FOR SPORT / GENERAL AMENITY
Thermoplastic white line markings
Line marking
</t>
    </r>
    <r>
      <rPr>
        <sz val="11"/>
        <rFont val="Arial"/>
      </rPr>
      <t>1004</t>
    </r>
  </si>
  <si>
    <t>66/1/2</t>
  </si>
  <si>
    <t>Page Total : 66/1/1</t>
  </si>
  <si>
    <t>Page Total : 66/1/2</t>
  </si>
  <si>
    <t>22-004I 10/03/2025 13:08:22 Page : 256</t>
  </si>
  <si>
    <t>Phase 10 - West Street Resurfacing Works</t>
  </si>
  <si>
    <t>67</t>
  </si>
  <si>
    <r>
      <rPr>
        <b/>
        <u/>
        <sz val="11"/>
        <rFont val="Arial"/>
      </rPr>
      <t xml:space="preserve">West Street Resurfacing Works
</t>
    </r>
    <r>
      <rPr>
        <sz val="11"/>
        <rFont val="Arial"/>
      </rPr>
      <t>Plane off/cold mill existing road surface to a depth of 200mm</t>
    </r>
  </si>
  <si>
    <t>Disposal of arisings; coal tar idetified; assumed hazardous</t>
  </si>
  <si>
    <r>
      <rPr>
        <b/>
        <u/>
        <sz val="11"/>
        <rFont val="Arial"/>
      </rPr>
      <t xml:space="preserve">Q22 COATED MACADAM / ASPHALT ROADS / PAVINGS
Proposed carriageway overlay; 30 thick 10 thick SMA 50 pen h/stone surface course, 70 thick AC20 heavy duty dense bin 40/60 binder course and 100mm of 32mm DBA base course; as drawing XX-DR-D-0007
Roads
</t>
    </r>
    <r>
      <rPr>
        <sz val="11"/>
        <rFont val="Arial"/>
      </rPr>
      <t>level and to falls only (200mm total thickness)</t>
    </r>
  </si>
  <si>
    <t>67/1/1</t>
  </si>
  <si>
    <t>Page Total : 67/1/1</t>
  </si>
  <si>
    <t>22-004I 10/03/2025 13:08:22 Page : 258</t>
  </si>
  <si>
    <t>Vac Exc Works</t>
  </si>
  <si>
    <t>68</t>
  </si>
  <si>
    <r>
      <rPr>
        <b/>
        <u/>
        <sz val="11"/>
        <rFont val="Arial"/>
      </rPr>
      <t xml:space="preserve">D GROUNDWORK
D20 EXCAVATING AND FILLING
Vac-excavation
Allow for all vac-excavation works to specialist Sub-Contractor's design and methodology; as drawing XX-SL-DR-U-00 21 P03
</t>
    </r>
    <r>
      <rPr>
        <sz val="11"/>
        <rFont val="Arial"/>
      </rPr>
      <t>Phase 0; approximate quantity (2 Days over 2no visits)</t>
    </r>
  </si>
  <si>
    <t>Phase 1; approximate quantity (6 Days)</t>
  </si>
  <si>
    <t>Phase 2; approximate quantity (20 Days)</t>
  </si>
  <si>
    <t>Phase 5; approximate quantity (10 Days)</t>
  </si>
  <si>
    <t>Phase 7; approximate quantity (8 Days)</t>
  </si>
  <si>
    <t>Phase 8; approximate quantity; (26 Days over 3 no. visits)</t>
  </si>
  <si>
    <t>68/1/1</t>
  </si>
  <si>
    <t>Page Total : 68/1/1</t>
  </si>
  <si>
    <t>22-004I 10/03/2025 13:08:22 Page : 260</t>
  </si>
  <si>
    <t>Ext Services (Disconnect/Connect/Divert)</t>
  </si>
  <si>
    <t>69</t>
  </si>
  <si>
    <r>
      <rPr>
        <b/>
        <u/>
        <sz val="11"/>
        <rFont val="Arial"/>
      </rPr>
      <t xml:space="preserve">External Services
New Connections
</t>
    </r>
    <r>
      <rPr>
        <sz val="11"/>
        <rFont val="Arial"/>
      </rPr>
      <t>Electric</t>
    </r>
  </si>
  <si>
    <t>Water</t>
  </si>
  <si>
    <t>Telecoms</t>
  </si>
  <si>
    <t>HVSS Non contestible charge</t>
  </si>
  <si>
    <t>HVSS OOHW</t>
  </si>
  <si>
    <t>HVSS Vac-exc allowance</t>
  </si>
  <si>
    <r>
      <rPr>
        <b/>
        <u/>
        <sz val="11"/>
        <rFont val="Arial"/>
      </rPr>
      <t xml:space="preserve">Temporary Installations
</t>
    </r>
    <r>
      <rPr>
        <sz val="11"/>
        <rFont val="Arial"/>
      </rPr>
      <t>Electric (NPG)</t>
    </r>
  </si>
  <si>
    <t>Water (HVSS)</t>
  </si>
  <si>
    <r>
      <rPr>
        <b/>
        <u/>
        <sz val="11"/>
        <rFont val="Arial"/>
      </rPr>
      <t xml:space="preserve">Diversions
</t>
    </r>
    <r>
      <rPr>
        <sz val="11"/>
        <rFont val="Arial"/>
      </rPr>
      <t>Electric (NPG)</t>
    </r>
  </si>
  <si>
    <t>Gas (Cadent Gas)</t>
  </si>
  <si>
    <t>Telecoms (BT)</t>
  </si>
  <si>
    <t>Telecoms (Virgin)</t>
  </si>
  <si>
    <t>Telecoms (Vodafone)</t>
  </si>
  <si>
    <t>Telecoms (Instalcom)</t>
  </si>
  <si>
    <t>Telecoms (Zayo)</t>
  </si>
  <si>
    <r>
      <rPr>
        <b/>
        <u/>
        <sz val="11"/>
        <rFont val="Arial"/>
      </rPr>
      <t xml:space="preserve">External Lighting
</t>
    </r>
    <r>
      <rPr>
        <sz val="11"/>
        <rFont val="Arial"/>
      </rPr>
      <t>Provisional allowance for all works associated with installing service ducts and draw pits to external lighting columns L11, L13 &amp; L14. Plus dictowrk in public realm NPG LV connection</t>
    </r>
  </si>
  <si>
    <r>
      <rPr>
        <b/>
        <u/>
        <sz val="11"/>
        <rFont val="Arial"/>
      </rPr>
      <t xml:space="preserve">Substation
</t>
    </r>
    <r>
      <rPr>
        <sz val="11"/>
        <rFont val="Arial"/>
      </rPr>
      <t>GRP Substation housing (base picked up in external works measure)</t>
    </r>
  </si>
  <si>
    <t>Spiking allowance for existing services</t>
  </si>
  <si>
    <t>69/1/1</t>
  </si>
  <si>
    <t>Page Total : 69/1/1</t>
  </si>
  <si>
    <t>22-004I 10/03/2025 13:08:22 Page : 262</t>
  </si>
  <si>
    <t>Defence Mounds (Valley Garden)</t>
  </si>
  <si>
    <t>70</t>
  </si>
  <si>
    <r>
      <rPr>
        <b/>
        <u/>
        <sz val="11"/>
        <rFont val="Arial"/>
      </rPr>
      <t xml:space="preserve">D GROUNDWORK
D20 EXCAVATING AND FILLING
Surface treatments
Waveform erosion control matting for reinforcement; installaed to manufacturers instructions; as drawing
</t>
    </r>
    <r>
      <rPr>
        <sz val="11"/>
        <rFont val="Arial"/>
      </rPr>
      <t>generally; phase 1</t>
    </r>
  </si>
  <si>
    <t>generally; phase 2</t>
  </si>
  <si>
    <r>
      <rPr>
        <b/>
        <u/>
        <sz val="11"/>
        <rFont val="Arial"/>
      </rPr>
      <t xml:space="preserve">D41 CRIB WALLS / GABIONS / REINFORCED EARTH
Defencell 300 geoceill structure within bund; Defencell profil 300 potection system, textile, cellular, containment system; layered construction system; installated to manufacturers instructions as drawing SL-DR-L-7008 P01
Defencell; phase 1
</t>
    </r>
    <r>
      <rPr>
        <sz val="11"/>
        <rFont val="Arial"/>
      </rPr>
      <t>size 3500 x 1250 high; 50 degree slope; by specialist Sub-Contractor</t>
    </r>
  </si>
  <si>
    <r>
      <rPr>
        <b/>
        <u/>
        <sz val="11"/>
        <rFont val="Arial"/>
      </rPr>
      <t xml:space="preserve">Filling to make up levels; to form mounds
</t>
    </r>
    <r>
      <rPr>
        <sz val="11"/>
        <rFont val="Arial"/>
      </rPr>
      <t>Sand, gravel and small rocks (assumed 75% of mound volume)</t>
    </r>
  </si>
  <si>
    <t>Topsoil (assumed 25% of mound volume)</t>
  </si>
  <si>
    <r>
      <rPr>
        <b/>
        <u/>
        <sz val="11"/>
        <rFont val="Arial"/>
      </rPr>
      <t xml:space="preserve">Defencell; phase 2
</t>
    </r>
    <r>
      <rPr>
        <sz val="11"/>
        <rFont val="Arial"/>
      </rPr>
      <t>size 3500 x 1250 high; 50 degree slope; by specialist Sub-Contractor</t>
    </r>
  </si>
  <si>
    <r>
      <rPr>
        <b/>
        <u/>
        <sz val="11"/>
        <rFont val="Arial"/>
      </rPr>
      <t xml:space="preserve">Filling to make up levels; to form mounds
</t>
    </r>
    <r>
      <rPr>
        <sz val="11"/>
        <rFont val="Arial"/>
      </rPr>
      <t>Sand, gravel and small rocks (assumed 75% of mound voilume)</t>
    </r>
  </si>
  <si>
    <t>..</t>
  </si>
  <si>
    <t>70/1/1</t>
  </si>
  <si>
    <t>Page Total : 70/1/1</t>
  </si>
  <si>
    <t>22-004I 10/03/2025 13:08:22 Page : 264</t>
  </si>
  <si>
    <t>Gap Analysis</t>
  </si>
  <si>
    <t>71</t>
  </si>
  <si>
    <r>
      <rPr>
        <b/>
        <u/>
        <sz val="11"/>
        <rFont val="Arial"/>
      </rPr>
      <t xml:space="preserve">GAP ANALYSIS
A - Specifications
</t>
    </r>
    <r>
      <rPr>
        <sz val="11"/>
        <rFont val="Arial"/>
      </rPr>
      <t>Archeological Excavation</t>
    </r>
  </si>
  <si>
    <r>
      <rPr>
        <b/>
        <u/>
        <sz val="11"/>
        <rFont val="Arial"/>
      </rPr>
      <t xml:space="preserve">B - Demolition, Excavation &amp; Statutory Services
</t>
    </r>
    <r>
      <rPr>
        <sz val="11"/>
        <rFont val="Arial"/>
      </rPr>
      <t>Grubbng up Foundations close to services</t>
    </r>
  </si>
  <si>
    <t>Tree protection</t>
  </si>
  <si>
    <t>Invasive species removal</t>
  </si>
  <si>
    <t>Wolseley Slab break out for archeological trenching</t>
  </si>
  <si>
    <r>
      <rPr>
        <b/>
        <u/>
        <sz val="11"/>
        <rFont val="Arial"/>
      </rPr>
      <t xml:space="preserve">C - Existing Services on Site
</t>
    </r>
    <r>
      <rPr>
        <sz val="11"/>
        <rFont val="Arial"/>
      </rPr>
      <t>Lack of utility survey working in close proximity to trafford way</t>
    </r>
  </si>
  <si>
    <t>Vac Ex additional allowance</t>
  </si>
  <si>
    <r>
      <rPr>
        <b/>
        <u/>
        <sz val="11"/>
        <rFont val="Arial"/>
      </rPr>
      <t xml:space="preserve">E - Drainage
</t>
    </r>
    <r>
      <rPr>
        <sz val="11"/>
        <rFont val="Arial"/>
      </rPr>
      <t>Penetrations and drainage through retaining walls</t>
    </r>
  </si>
  <si>
    <r>
      <rPr>
        <b/>
        <u/>
        <sz val="11"/>
        <rFont val="Arial"/>
      </rPr>
      <t xml:space="preserve">F - Superstructure
</t>
    </r>
    <r>
      <rPr>
        <sz val="11"/>
        <rFont val="Arial"/>
      </rPr>
      <t>Mast climber support</t>
    </r>
  </si>
  <si>
    <t>Louvre Screen Additional support</t>
  </si>
  <si>
    <t>Internal Screen Cost and Additional Support</t>
  </si>
  <si>
    <r>
      <rPr>
        <b/>
        <u/>
        <sz val="11"/>
        <rFont val="Arial"/>
      </rPr>
      <t xml:space="preserve">H - External Walls
</t>
    </r>
    <r>
      <rPr>
        <sz val="11"/>
        <rFont val="Arial"/>
      </rPr>
      <t>Facing Bricks</t>
    </r>
  </si>
  <si>
    <t>Lintels + Masonry support</t>
  </si>
  <si>
    <t>Cleat Angle and Levelling angles at parapet only for weather defence board</t>
  </si>
  <si>
    <t>Lintel support for incoming RWP to external brick columns.</t>
  </si>
  <si>
    <t>Access panel in brick columns (inside balcony) x4 with lintel support.</t>
  </si>
  <si>
    <r>
      <rPr>
        <b/>
        <u/>
        <sz val="11"/>
        <rFont val="Arial"/>
      </rPr>
      <t xml:space="preserve">I - Roof
</t>
    </r>
    <r>
      <rPr>
        <sz val="11"/>
        <rFont val="Arial"/>
      </rPr>
      <t>Level survey/ puddle test</t>
    </r>
  </si>
  <si>
    <r>
      <rPr>
        <b/>
        <u/>
        <sz val="11"/>
        <rFont val="Arial"/>
      </rPr>
      <t xml:space="preserve">J - Stairs and Balconies
</t>
    </r>
    <r>
      <rPr>
        <sz val="11"/>
        <rFont val="Arial"/>
      </rPr>
      <t>Concrete Bund on balconies support to balustrades</t>
    </r>
  </si>
  <si>
    <t>Soffits - Access Panels</t>
  </si>
  <si>
    <r>
      <rPr>
        <b/>
        <u/>
        <sz val="11"/>
        <rFont val="Arial"/>
      </rPr>
      <t xml:space="preserve">K - Lift Shaft
</t>
    </r>
    <r>
      <rPr>
        <sz val="11"/>
        <rFont val="Arial"/>
      </rPr>
      <t>Evac lift - Flood Risk</t>
    </r>
  </si>
  <si>
    <r>
      <rPr>
        <b/>
        <u/>
        <sz val="11"/>
        <rFont val="Arial"/>
      </rPr>
      <t xml:space="preserve">L - Windows &amp; Doors
</t>
    </r>
    <r>
      <rPr>
        <sz val="11"/>
        <rFont val="Arial"/>
      </rPr>
      <t>Revolving Door - Specialist Item</t>
    </r>
  </si>
  <si>
    <r>
      <rPr>
        <b/>
        <u/>
        <sz val="11"/>
        <rFont val="Arial"/>
      </rPr>
      <t xml:space="preserve">M - Internal Walls &amp; Partitions
</t>
    </r>
    <r>
      <rPr>
        <sz val="11"/>
        <rFont val="Arial"/>
      </rPr>
      <t>Encasement/Deflection Detail</t>
    </r>
  </si>
  <si>
    <t>EOS - Jamb horizontal support increase</t>
  </si>
  <si>
    <t>Door Frame Weights</t>
  </si>
  <si>
    <t>Door Jamb full width timber support</t>
  </si>
  <si>
    <t>AE</t>
  </si>
  <si>
    <t>SFS head restraint to External Brick Columns</t>
  </si>
  <si>
    <t>AF</t>
  </si>
  <si>
    <t>Bulkhead reception Area</t>
  </si>
  <si>
    <t>AG</t>
  </si>
  <si>
    <t>Special supports for doc M pack</t>
  </si>
  <si>
    <t>AH</t>
  </si>
  <si>
    <t>Pattress</t>
  </si>
  <si>
    <t>AI</t>
  </si>
  <si>
    <t>Non complaint wall type</t>
  </si>
  <si>
    <t>AJ</t>
  </si>
  <si>
    <t>Aqua board in lieu of standard to lift shaft and lift nibs</t>
  </si>
  <si>
    <t>AK</t>
  </si>
  <si>
    <t>Offset Beams to under of roof deck</t>
  </si>
  <si>
    <t>AL</t>
  </si>
  <si>
    <t>Perpendicular to purlins</t>
  </si>
  <si>
    <t>AM</t>
  </si>
  <si>
    <t>Bespoke Fire Testing Detail Allowance</t>
  </si>
  <si>
    <t>AN</t>
  </si>
  <si>
    <r>
      <rPr>
        <b/>
        <u/>
        <sz val="11"/>
        <rFont val="Arial"/>
      </rPr>
      <t xml:space="preserve">O - Floor Finishes
</t>
    </r>
    <r>
      <rPr>
        <sz val="11"/>
        <rFont val="Arial"/>
      </rPr>
      <t>Raised access floor - cut legs</t>
    </r>
  </si>
  <si>
    <t>AO</t>
  </si>
  <si>
    <r>
      <rPr>
        <b/>
        <u/>
        <sz val="11"/>
        <rFont val="Arial"/>
      </rPr>
      <t xml:space="preserve">Q - Joirney - Internal Doors, Fixtures &amp; Fittings
</t>
    </r>
    <r>
      <rPr>
        <sz val="11"/>
        <rFont val="Arial"/>
      </rPr>
      <t>WC doors. Late building reg change Oct 24 - WC now have to be on pivot doors and able to open outwards.</t>
    </r>
  </si>
  <si>
    <t>AP</t>
  </si>
  <si>
    <r>
      <rPr>
        <b/>
        <u/>
        <sz val="11"/>
        <rFont val="Arial"/>
      </rPr>
      <t xml:space="preserve">R - Mechanical Services
</t>
    </r>
    <r>
      <rPr>
        <sz val="11"/>
        <rFont val="Arial"/>
      </rPr>
      <t>Bunding - Boiler Room</t>
    </r>
  </si>
  <si>
    <t>AQ</t>
  </si>
  <si>
    <r>
      <rPr>
        <b/>
        <u/>
        <sz val="11"/>
        <rFont val="Arial"/>
      </rPr>
      <t xml:space="preserve">T - External Works
</t>
    </r>
    <r>
      <rPr>
        <sz val="11"/>
        <rFont val="Arial"/>
      </rPr>
      <t>Trafford Way - Resurfacing + whitelining + drainage kerb replacement</t>
    </r>
  </si>
  <si>
    <t>AR</t>
  </si>
  <si>
    <t>Temp signage</t>
  </si>
  <si>
    <t>AS</t>
  </si>
  <si>
    <t>LNER gulley late change</t>
  </si>
  <si>
    <t>AT</t>
  </si>
  <si>
    <t>Late Hardstanding Error spotted</t>
  </si>
  <si>
    <t>AU</t>
  </si>
  <si>
    <t>TM Late External Measure Check</t>
  </si>
  <si>
    <t>AV</t>
  </si>
  <si>
    <r>
      <rPr>
        <b/>
        <u/>
        <sz val="11"/>
        <rFont val="Arial"/>
      </rPr>
      <t xml:space="preserve">U - Landscaping
</t>
    </r>
    <r>
      <rPr>
        <sz val="11"/>
        <rFont val="Arial"/>
      </rPr>
      <t>Bird &amp; Bat Boxes plus Insect Mounds</t>
    </r>
  </si>
  <si>
    <t>AW</t>
  </si>
  <si>
    <t>Additional Trees and barrier protection</t>
  </si>
  <si>
    <t>71/1/1</t>
  </si>
  <si>
    <t>Page Total : 71/1/1</t>
  </si>
  <si>
    <t>Print Summary</t>
  </si>
  <si>
    <t>Bill 1</t>
  </si>
  <si>
    <t>Bill 2</t>
  </si>
  <si>
    <t>Bill 3</t>
  </si>
  <si>
    <t>Bill 4</t>
  </si>
  <si>
    <t>Bill 5</t>
  </si>
  <si>
    <t>Bill 6</t>
  </si>
  <si>
    <t>Bill 7</t>
  </si>
  <si>
    <t>Bill 8</t>
  </si>
  <si>
    <t>Bill 9</t>
  </si>
  <si>
    <t>Bill 10</t>
  </si>
  <si>
    <t>Bill 11</t>
  </si>
  <si>
    <t>Bill 12</t>
  </si>
  <si>
    <t>Bill 13</t>
  </si>
  <si>
    <t>Bill 14</t>
  </si>
  <si>
    <t>Bill 15</t>
  </si>
  <si>
    <t>Bill 16</t>
  </si>
  <si>
    <t>Bill 17</t>
  </si>
  <si>
    <t>Bill 18</t>
  </si>
  <si>
    <t>Bill 19</t>
  </si>
  <si>
    <t>Bill 20</t>
  </si>
  <si>
    <t>Bill 21</t>
  </si>
  <si>
    <t>Bill 22</t>
  </si>
  <si>
    <t>Bill 23</t>
  </si>
  <si>
    <t>Bill 24</t>
  </si>
  <si>
    <t>Bill 25</t>
  </si>
  <si>
    <t>Bill 26</t>
  </si>
  <si>
    <t>Bill 27</t>
  </si>
  <si>
    <t>Bill 28</t>
  </si>
  <si>
    <t>Bill 29</t>
  </si>
  <si>
    <t>Bill 30</t>
  </si>
  <si>
    <t>Bill 31</t>
  </si>
  <si>
    <t>Bill 32</t>
  </si>
  <si>
    <t>Bill 33</t>
  </si>
  <si>
    <t>Bill 34</t>
  </si>
  <si>
    <t>Bill 35</t>
  </si>
  <si>
    <t>Bill 36</t>
  </si>
  <si>
    <t>Bill 37</t>
  </si>
  <si>
    <t>Bill 38</t>
  </si>
  <si>
    <t>Bill 39</t>
  </si>
  <si>
    <t>Bill 40</t>
  </si>
  <si>
    <t>Bill 41</t>
  </si>
  <si>
    <t>Bill 42</t>
  </si>
  <si>
    <t>Bill 43</t>
  </si>
  <si>
    <t>Bill 44</t>
  </si>
  <si>
    <t>Bill 45</t>
  </si>
  <si>
    <t>Bill 46</t>
  </si>
  <si>
    <t>Bill 47</t>
  </si>
  <si>
    <t>Bill 48</t>
  </si>
  <si>
    <t>Bill 49</t>
  </si>
  <si>
    <t>Bill 50</t>
  </si>
  <si>
    <t>Bill 51</t>
  </si>
  <si>
    <t>Bill 52</t>
  </si>
  <si>
    <t>Bill 53</t>
  </si>
  <si>
    <t>Bill 54</t>
  </si>
  <si>
    <t>Bill 55</t>
  </si>
  <si>
    <t>Bill 56</t>
  </si>
  <si>
    <t>Bill 57</t>
  </si>
  <si>
    <t>Bill 58</t>
  </si>
  <si>
    <t>Bill 59</t>
  </si>
  <si>
    <t>Bill 60</t>
  </si>
  <si>
    <t>Bill 61</t>
  </si>
  <si>
    <t>Bill 62</t>
  </si>
  <si>
    <t>Bill 63</t>
  </si>
  <si>
    <t>Bill 64</t>
  </si>
  <si>
    <t>Bill 65</t>
  </si>
  <si>
    <t>Bill 66</t>
  </si>
  <si>
    <t>Bill 67</t>
  </si>
  <si>
    <t>Bill 68</t>
  </si>
  <si>
    <t>Bill 69</t>
  </si>
  <si>
    <t>Bill 70</t>
  </si>
  <si>
    <t>Bill 71</t>
  </si>
  <si>
    <t>General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</si>
</sst>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sz val="11"/>
      <name val="Arial"/>
    </font>
    <font>
      <b/>
      <u/>
      <sz val="11"/>
      <name val="Arial"/>
    </font>
    <font>
      <b/>
      <sz val="11"/>
      <name val="Arial"/>
    </font>
  </fonts>
  <fills count="2">
    <fill>
      <patternFill patternType="none"/>
    </fill>
    <fill>
      <patternFill patternType="gray125"/>
    </fill>
  </fills>
  <borders count="10">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s>
  <cellStyleXfs count="1">
    <xf numFmtId="0" fontId="0" fillId="0" borderId="0"/>
  </cellStyleXfs>
  <cellXfs count="23">
    <xf numFmtId="0" fontId="1" fillId="0" borderId="0" xfId="0" applyFont="1"/>
    <xf numFmtId="0" fontId="1" fillId="0" borderId="1" xfId="0" applyFont="1" applyBorder="1"/>
    <xf numFmtId="0" fontId="1" fillId="0" borderId="2" xfId="0" applyFont="1" applyBorder="1"/>
    <xf numFmtId="0" fontId="3" fillId="0" borderId="2" xfId="0" applyFont="1" applyBorder="1"/>
    <xf numFmtId="0" fontId="1" fillId="0" borderId="0" xfId="0" applyFont="1" applyAlignment="1">
      <alignment horizontal="right"/>
    </xf>
    <xf numFmtId="0" fontId="1" fillId="0" borderId="1" xfId="0" applyFont="1" applyBorder="1" applyAlignment="1">
      <alignment horizontal="right"/>
    </xf>
    <xf numFmtId="0" fontId="1" fillId="0" borderId="2" xfId="0" applyFont="1" applyBorder="1" applyAlignment="1">
      <alignment horizontal="right"/>
    </xf>
    <xf numFmtId="0" fontId="3" fillId="0" borderId="2" xfId="0" applyFont="1" applyBorder="1" applyAlignment="1">
      <alignment horizontal="right"/>
    </xf>
    <xf numFmtId="0" fontId="1" fillId="0" borderId="3" xfId="0" applyFont="1" applyBorder="1"/>
    <xf numFmtId="0" fontId="1" fillId="0" borderId="2" xfId="0" applyFont="1" applyBorder="1" applyAlignment="1">
      <alignment horizontal="left"/>
    </xf>
    <xf numFmtId="49" fontId="1" fillId="0" borderId="2" xfId="0" applyNumberFormat="1" applyFont="1" applyBorder="1"/>
    <xf numFmtId="0" fontId="1" fillId="0" borderId="2" xfId="0" applyFont="1" applyBorder="1" applyAlignment="1">
      <alignment wrapText="1"/>
    </xf>
    <xf numFmtId="4" fontId="1" fillId="0" borderId="2" xfId="0" applyNumberFormat="1" applyFont="1" applyBorder="1" applyAlignment="1">
      <alignment horizontal="right"/>
    </xf>
    <xf numFmtId="4" fontId="1" fillId="0" borderId="2" xfId="0" applyNumberFormat="1" applyFont="1" applyBorder="1"/>
    <xf numFmtId="0" fontId="1" fillId="0" borderId="5" xfId="0" applyFont="1" applyBorder="1"/>
    <xf numFmtId="0" fontId="1" fillId="0" borderId="6" xfId="0" applyFont="1" applyBorder="1"/>
    <xf numFmtId="4" fontId="1" fillId="0" borderId="6" xfId="0" applyNumberFormat="1" applyFont="1" applyBorder="1"/>
    <xf numFmtId="0" fontId="1" fillId="0" borderId="7" xfId="0" applyFont="1" applyBorder="1"/>
    <xf numFmtId="0" fontId="1" fillId="0" borderId="8" xfId="0" applyFont="1" applyBorder="1"/>
    <xf numFmtId="0" fontId="2" fillId="0" borderId="4" xfId="0" applyFont="1" applyBorder="1"/>
    <xf numFmtId="0" fontId="1" fillId="0" borderId="9" xfId="0" applyFont="1" applyBorder="1"/>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160"/>
  <sheetViews>
    <sheetView tabSelected="1" workbookViewId="0">
      <selection activeCell="E3" sqref="E3"/>
    </sheetView>
  </sheetViews>
  <sheetFormatPr defaultColWidth="9.140625" defaultRowHeight="14.25" x14ac:dyDescent="0.2"/>
  <cols>
    <col min="1" max="1" width="19.140625" customWidth="1"/>
    <col min="2" max="2" width="8.42578125" customWidth="1"/>
    <col min="3" max="3" width="5.85546875" customWidth="1"/>
    <col min="4" max="4" width="4.140625" customWidth="1"/>
    <col min="5" max="5" width="74.28515625" customWidth="1"/>
    <col min="6" max="6" width="8.5703125" customWidth="1"/>
    <col min="7" max="7" width="5.28515625" customWidth="1"/>
    <col min="8" max="8" width="14.28515625" customWidth="1"/>
    <col min="9" max="9" width="17.5703125" customWidth="1"/>
  </cols>
  <sheetData>
    <row r="1" spans="1:10" ht="15" x14ac:dyDescent="0.25">
      <c r="A1" s="21" t="s">
        <v>0</v>
      </c>
      <c r="B1" s="22"/>
      <c r="C1" s="22"/>
      <c r="D1" s="22"/>
      <c r="E1" s="22"/>
      <c r="F1" s="22"/>
      <c r="G1" s="22"/>
      <c r="H1" s="22"/>
      <c r="I1" s="22"/>
      <c r="J1" s="22"/>
    </row>
    <row r="2" spans="1:10" ht="15" x14ac:dyDescent="0.25">
      <c r="A2" s="21" t="s">
        <v>1</v>
      </c>
      <c r="B2" s="22"/>
      <c r="C2" s="22"/>
      <c r="D2" s="22"/>
      <c r="E2" s="22"/>
      <c r="F2" s="22"/>
      <c r="G2" s="22"/>
      <c r="H2" s="22"/>
      <c r="I2" s="22"/>
      <c r="J2" s="22"/>
    </row>
    <row r="4" spans="1:10" ht="15" x14ac:dyDescent="0.25">
      <c r="A4" s="3" t="s">
        <v>2</v>
      </c>
      <c r="B4" s="3" t="s">
        <v>3</v>
      </c>
      <c r="C4" s="3" t="s">
        <v>4</v>
      </c>
      <c r="D4" s="3" t="s">
        <v>5</v>
      </c>
      <c r="E4" s="3" t="s">
        <v>6</v>
      </c>
      <c r="F4" s="7" t="s">
        <v>7</v>
      </c>
      <c r="G4" s="3" t="s">
        <v>8</v>
      </c>
      <c r="H4" s="7" t="s">
        <v>9</v>
      </c>
      <c r="I4" s="7" t="s">
        <v>10</v>
      </c>
      <c r="J4" s="3" t="s">
        <v>11</v>
      </c>
    </row>
    <row r="5" spans="1:10" ht="254.25" x14ac:dyDescent="0.2">
      <c r="A5" s="2" t="s">
        <v>12</v>
      </c>
      <c r="B5" s="9">
        <v>1</v>
      </c>
      <c r="C5" s="9">
        <v>1</v>
      </c>
      <c r="D5" s="10" t="s">
        <v>13</v>
      </c>
      <c r="E5" s="11" t="s">
        <v>14</v>
      </c>
      <c r="F5" s="12">
        <v>1</v>
      </c>
      <c r="G5" s="10" t="s">
        <v>15</v>
      </c>
      <c r="H5" s="13"/>
      <c r="I5" s="13"/>
      <c r="J5" s="10"/>
    </row>
    <row r="6" spans="1:10" ht="28.5" x14ac:dyDescent="0.2">
      <c r="A6" s="2" t="s">
        <v>12</v>
      </c>
      <c r="B6" s="9">
        <v>1</v>
      </c>
      <c r="C6" s="9">
        <v>1</v>
      </c>
      <c r="D6" s="10" t="s">
        <v>16</v>
      </c>
      <c r="E6" s="11" t="s">
        <v>17</v>
      </c>
      <c r="F6" s="12">
        <v>1</v>
      </c>
      <c r="G6" s="10" t="s">
        <v>15</v>
      </c>
      <c r="H6" s="13"/>
      <c r="I6" s="13"/>
      <c r="J6" s="10"/>
    </row>
    <row r="7" spans="1:10" ht="42.75" x14ac:dyDescent="0.2">
      <c r="A7" s="2" t="s">
        <v>12</v>
      </c>
      <c r="B7" s="9">
        <v>1</v>
      </c>
      <c r="C7" s="9">
        <v>1</v>
      </c>
      <c r="D7" s="10" t="s">
        <v>18</v>
      </c>
      <c r="E7" s="11" t="s">
        <v>19</v>
      </c>
      <c r="F7" s="12">
        <v>1</v>
      </c>
      <c r="G7" s="10" t="s">
        <v>15</v>
      </c>
      <c r="H7" s="13"/>
      <c r="I7" s="13"/>
      <c r="J7" s="10"/>
    </row>
    <row r="8" spans="1:10" x14ac:dyDescent="0.2">
      <c r="A8" s="2" t="s">
        <v>12</v>
      </c>
      <c r="B8" s="9">
        <v>1</v>
      </c>
      <c r="C8" s="9">
        <v>1</v>
      </c>
      <c r="D8" s="10" t="s">
        <v>20</v>
      </c>
      <c r="E8" s="11" t="s">
        <v>21</v>
      </c>
      <c r="F8" s="12">
        <v>1</v>
      </c>
      <c r="G8" s="10" t="s">
        <v>15</v>
      </c>
      <c r="H8" s="13"/>
      <c r="I8" s="6"/>
      <c r="J8" s="10"/>
    </row>
    <row r="9" spans="1:10" x14ac:dyDescent="0.2">
      <c r="A9" s="2" t="s">
        <v>12</v>
      </c>
      <c r="B9" s="9">
        <v>1</v>
      </c>
      <c r="C9" s="9">
        <v>1</v>
      </c>
      <c r="D9" s="10" t="s">
        <v>22</v>
      </c>
      <c r="E9" s="11" t="s">
        <v>23</v>
      </c>
      <c r="F9" s="12">
        <v>1</v>
      </c>
      <c r="G9" s="10" t="s">
        <v>15</v>
      </c>
      <c r="H9" s="13"/>
      <c r="I9" s="6"/>
      <c r="J9" s="10"/>
    </row>
    <row r="10" spans="1:10" ht="104.25" x14ac:dyDescent="0.2">
      <c r="A10" s="2" t="s">
        <v>12</v>
      </c>
      <c r="B10" s="9">
        <v>1</v>
      </c>
      <c r="C10" s="9">
        <v>1</v>
      </c>
      <c r="D10" s="10" t="s">
        <v>24</v>
      </c>
      <c r="E10" s="11" t="s">
        <v>25</v>
      </c>
      <c r="F10" s="12">
        <v>1</v>
      </c>
      <c r="G10" s="10" t="s">
        <v>15</v>
      </c>
      <c r="H10" s="13"/>
      <c r="I10" s="6"/>
      <c r="J10" s="10"/>
    </row>
    <row r="11" spans="1:10" x14ac:dyDescent="0.2">
      <c r="A11" s="2" t="s">
        <v>12</v>
      </c>
      <c r="B11" s="9">
        <v>1</v>
      </c>
      <c r="C11" s="9">
        <v>1</v>
      </c>
      <c r="D11" s="10" t="s">
        <v>24</v>
      </c>
      <c r="E11" s="11" t="s">
        <v>26</v>
      </c>
      <c r="F11" s="12">
        <v>1</v>
      </c>
      <c r="G11" s="10" t="s">
        <v>15</v>
      </c>
      <c r="H11" s="13"/>
      <c r="I11" s="6"/>
      <c r="J11" s="10"/>
    </row>
    <row r="12" spans="1:10" ht="119.25" x14ac:dyDescent="0.2">
      <c r="A12" s="2" t="s">
        <v>12</v>
      </c>
      <c r="B12" s="9">
        <v>1</v>
      </c>
      <c r="C12" s="9">
        <v>1</v>
      </c>
      <c r="D12" s="10" t="s">
        <v>27</v>
      </c>
      <c r="E12" s="11" t="s">
        <v>28</v>
      </c>
      <c r="F12" s="12">
        <v>1</v>
      </c>
      <c r="G12" s="10" t="s">
        <v>15</v>
      </c>
      <c r="H12" s="13"/>
      <c r="I12" s="13"/>
      <c r="J12" s="10"/>
    </row>
    <row r="13" spans="1:10" ht="74.25" x14ac:dyDescent="0.2">
      <c r="A13" s="2" t="s">
        <v>12</v>
      </c>
      <c r="B13" s="9">
        <v>1</v>
      </c>
      <c r="C13" s="9">
        <v>1</v>
      </c>
      <c r="D13" s="10" t="s">
        <v>29</v>
      </c>
      <c r="E13" s="11" t="s">
        <v>30</v>
      </c>
      <c r="F13" s="12">
        <v>3</v>
      </c>
      <c r="G13" s="10" t="s">
        <v>31</v>
      </c>
      <c r="H13" s="13"/>
      <c r="I13" s="13"/>
      <c r="J13" s="10"/>
    </row>
    <row r="14" spans="1:10" ht="28.5" x14ac:dyDescent="0.2">
      <c r="A14" s="2" t="s">
        <v>12</v>
      </c>
      <c r="B14" s="9">
        <v>1</v>
      </c>
      <c r="C14" s="9">
        <v>1</v>
      </c>
      <c r="D14" s="10" t="s">
        <v>29</v>
      </c>
      <c r="E14" s="11" t="s">
        <v>17</v>
      </c>
      <c r="F14" s="12">
        <v>1</v>
      </c>
      <c r="G14" s="10" t="s">
        <v>15</v>
      </c>
      <c r="H14" s="13"/>
      <c r="I14" s="13"/>
      <c r="J14" s="10"/>
    </row>
    <row r="15" spans="1:10" ht="42.75" x14ac:dyDescent="0.2">
      <c r="A15" s="2" t="s">
        <v>12</v>
      </c>
      <c r="B15" s="9">
        <v>1</v>
      </c>
      <c r="C15" s="9">
        <v>1</v>
      </c>
      <c r="D15" s="10" t="s">
        <v>32</v>
      </c>
      <c r="E15" s="11" t="s">
        <v>19</v>
      </c>
      <c r="F15" s="12">
        <v>1</v>
      </c>
      <c r="G15" s="10" t="s">
        <v>15</v>
      </c>
      <c r="H15" s="13"/>
      <c r="I15" s="6"/>
      <c r="J15" s="10"/>
    </row>
    <row r="16" spans="1:10" x14ac:dyDescent="0.2">
      <c r="A16" s="2" t="s">
        <v>12</v>
      </c>
      <c r="B16" s="9">
        <v>1</v>
      </c>
      <c r="C16" s="9">
        <v>1</v>
      </c>
      <c r="D16" s="10" t="s">
        <v>33</v>
      </c>
      <c r="E16" s="11" t="s">
        <v>21</v>
      </c>
      <c r="F16" s="12">
        <v>1</v>
      </c>
      <c r="G16" s="10" t="s">
        <v>15</v>
      </c>
      <c r="H16" s="13"/>
      <c r="I16" s="6"/>
      <c r="J16" s="10"/>
    </row>
    <row r="17" spans="1:10" x14ac:dyDescent="0.2">
      <c r="A17" s="2" t="s">
        <v>12</v>
      </c>
      <c r="B17" s="9">
        <v>1</v>
      </c>
      <c r="C17" s="9">
        <v>1</v>
      </c>
      <c r="D17" s="10" t="s">
        <v>34</v>
      </c>
      <c r="E17" s="11" t="s">
        <v>23</v>
      </c>
      <c r="F17" s="12">
        <v>1</v>
      </c>
      <c r="G17" s="10" t="s">
        <v>15</v>
      </c>
      <c r="H17" s="13"/>
      <c r="I17" s="6"/>
      <c r="J17" s="10"/>
    </row>
    <row r="18" spans="1:10" x14ac:dyDescent="0.2">
      <c r="A18" s="2" t="s">
        <v>12</v>
      </c>
      <c r="B18" s="9">
        <v>1</v>
      </c>
      <c r="C18" s="9">
        <v>1</v>
      </c>
      <c r="D18" s="10" t="s">
        <v>35</v>
      </c>
      <c r="E18" s="11" t="s">
        <v>26</v>
      </c>
      <c r="F18" s="12">
        <v>1</v>
      </c>
      <c r="G18" s="10" t="s">
        <v>15</v>
      </c>
      <c r="H18" s="13"/>
      <c r="I18" s="6"/>
      <c r="J18" s="10"/>
    </row>
    <row r="19" spans="1:10" ht="44.25" x14ac:dyDescent="0.2">
      <c r="A19" s="2" t="s">
        <v>12</v>
      </c>
      <c r="B19" s="9">
        <v>1</v>
      </c>
      <c r="C19" s="9">
        <v>1</v>
      </c>
      <c r="D19" s="10" t="s">
        <v>36</v>
      </c>
      <c r="E19" s="11" t="s">
        <v>37</v>
      </c>
      <c r="F19" s="12">
        <v>1</v>
      </c>
      <c r="G19" s="10" t="s">
        <v>15</v>
      </c>
      <c r="H19" s="13"/>
      <c r="I19" s="6"/>
      <c r="J19" s="10"/>
    </row>
    <row r="20" spans="1:10" x14ac:dyDescent="0.2">
      <c r="A20" s="2" t="s">
        <v>12</v>
      </c>
      <c r="B20" s="9">
        <v>1</v>
      </c>
      <c r="C20" s="9">
        <v>1</v>
      </c>
      <c r="D20" s="10" t="s">
        <v>38</v>
      </c>
      <c r="E20" s="11" t="s">
        <v>39</v>
      </c>
      <c r="F20" s="12">
        <v>1</v>
      </c>
      <c r="G20" s="10" t="s">
        <v>15</v>
      </c>
      <c r="H20" s="13"/>
      <c r="I20" s="6"/>
      <c r="J20" s="10"/>
    </row>
    <row r="21" spans="1:10" x14ac:dyDescent="0.2">
      <c r="A21" s="2" t="s">
        <v>12</v>
      </c>
      <c r="B21" s="9">
        <v>1</v>
      </c>
      <c r="C21" s="9">
        <v>1</v>
      </c>
      <c r="D21" s="10" t="s">
        <v>40</v>
      </c>
      <c r="E21" s="11" t="s">
        <v>41</v>
      </c>
      <c r="F21" s="12">
        <v>1</v>
      </c>
      <c r="G21" s="10" t="s">
        <v>15</v>
      </c>
      <c r="H21" s="13"/>
      <c r="I21" s="6"/>
      <c r="J21" s="10"/>
    </row>
    <row r="22" spans="1:10" ht="149.25" x14ac:dyDescent="0.2">
      <c r="A22" s="2" t="s">
        <v>12</v>
      </c>
      <c r="B22" s="9">
        <v>1</v>
      </c>
      <c r="C22" s="9">
        <v>1</v>
      </c>
      <c r="D22" s="10" t="s">
        <v>42</v>
      </c>
      <c r="E22" s="11" t="s">
        <v>43</v>
      </c>
      <c r="F22" s="12">
        <v>1</v>
      </c>
      <c r="G22" s="10" t="s">
        <v>15</v>
      </c>
      <c r="H22" s="13"/>
      <c r="I22" s="13"/>
      <c r="J22" s="10"/>
    </row>
    <row r="23" spans="1:10" ht="42.75" x14ac:dyDescent="0.2">
      <c r="A23" s="2" t="s">
        <v>12</v>
      </c>
      <c r="B23" s="9">
        <v>1</v>
      </c>
      <c r="C23" s="9">
        <v>1</v>
      </c>
      <c r="D23" s="10" t="s">
        <v>44</v>
      </c>
      <c r="E23" s="11" t="s">
        <v>45</v>
      </c>
      <c r="F23" s="12">
        <v>1</v>
      </c>
      <c r="G23" s="10" t="s">
        <v>15</v>
      </c>
      <c r="H23" s="13"/>
      <c r="I23" s="13"/>
      <c r="J23" s="10"/>
    </row>
    <row r="24" spans="1:10" ht="42.75" x14ac:dyDescent="0.2">
      <c r="A24" s="2" t="s">
        <v>12</v>
      </c>
      <c r="B24" s="9">
        <v>1</v>
      </c>
      <c r="C24" s="9">
        <v>1</v>
      </c>
      <c r="D24" s="10" t="s">
        <v>46</v>
      </c>
      <c r="E24" s="11" t="s">
        <v>19</v>
      </c>
      <c r="F24" s="12">
        <v>1</v>
      </c>
      <c r="G24" s="10" t="s">
        <v>15</v>
      </c>
      <c r="H24" s="13"/>
      <c r="I24" s="13"/>
      <c r="J24" s="10"/>
    </row>
    <row r="25" spans="1:10" x14ac:dyDescent="0.2">
      <c r="A25" s="2" t="s">
        <v>12</v>
      </c>
      <c r="B25" s="9">
        <v>1</v>
      </c>
      <c r="C25" s="9">
        <v>1</v>
      </c>
      <c r="D25" s="10" t="s">
        <v>47</v>
      </c>
      <c r="E25" s="11" t="s">
        <v>39</v>
      </c>
      <c r="F25" s="12">
        <v>1</v>
      </c>
      <c r="G25" s="10" t="s">
        <v>15</v>
      </c>
      <c r="H25" s="13"/>
      <c r="I25" s="6"/>
      <c r="J25" s="10"/>
    </row>
    <row r="26" spans="1:10" x14ac:dyDescent="0.2">
      <c r="A26" s="2" t="s">
        <v>12</v>
      </c>
      <c r="B26" s="9">
        <v>1</v>
      </c>
      <c r="C26" s="9">
        <v>1</v>
      </c>
      <c r="D26" s="10" t="s">
        <v>48</v>
      </c>
      <c r="E26" s="11" t="s">
        <v>49</v>
      </c>
      <c r="F26" s="12">
        <v>1</v>
      </c>
      <c r="G26" s="10" t="s">
        <v>15</v>
      </c>
      <c r="H26" s="13"/>
      <c r="I26" s="6"/>
      <c r="J26" s="10"/>
    </row>
    <row r="27" spans="1:10" x14ac:dyDescent="0.2">
      <c r="A27" s="2" t="s">
        <v>12</v>
      </c>
      <c r="B27" s="9">
        <v>1</v>
      </c>
      <c r="C27" s="9">
        <v>1</v>
      </c>
      <c r="D27" s="10" t="s">
        <v>50</v>
      </c>
      <c r="E27" s="11" t="s">
        <v>51</v>
      </c>
      <c r="F27" s="12">
        <v>1</v>
      </c>
      <c r="G27" s="10" t="s">
        <v>15</v>
      </c>
      <c r="H27" s="13"/>
      <c r="I27" s="6"/>
      <c r="J27" s="10"/>
    </row>
    <row r="28" spans="1:10" x14ac:dyDescent="0.2">
      <c r="A28" s="2" t="s">
        <v>12</v>
      </c>
      <c r="B28" s="9">
        <v>1</v>
      </c>
      <c r="C28" s="9">
        <v>1</v>
      </c>
      <c r="D28" s="10" t="s">
        <v>52</v>
      </c>
      <c r="E28" s="11" t="s">
        <v>53</v>
      </c>
      <c r="F28" s="12">
        <v>1</v>
      </c>
      <c r="G28" s="10" t="s">
        <v>15</v>
      </c>
      <c r="H28" s="13"/>
      <c r="I28" s="6"/>
      <c r="J28" s="10"/>
    </row>
    <row r="29" spans="1:10" ht="44.25" x14ac:dyDescent="0.2">
      <c r="A29" s="2" t="s">
        <v>12</v>
      </c>
      <c r="B29" s="9">
        <v>1</v>
      </c>
      <c r="C29" s="9">
        <v>1</v>
      </c>
      <c r="D29" s="10" t="s">
        <v>54</v>
      </c>
      <c r="E29" s="11" t="s">
        <v>55</v>
      </c>
      <c r="F29" s="12">
        <v>1</v>
      </c>
      <c r="G29" s="10" t="s">
        <v>15</v>
      </c>
      <c r="H29" s="13"/>
      <c r="I29" s="13"/>
      <c r="J29" s="10"/>
    </row>
    <row r="30" spans="1:10" ht="28.5" x14ac:dyDescent="0.2">
      <c r="A30" s="2" t="s">
        <v>12</v>
      </c>
      <c r="B30" s="9">
        <v>1</v>
      </c>
      <c r="C30" s="9">
        <v>1</v>
      </c>
      <c r="D30" s="10" t="s">
        <v>56</v>
      </c>
      <c r="E30" s="11" t="s">
        <v>17</v>
      </c>
      <c r="F30" s="12">
        <v>1</v>
      </c>
      <c r="G30" s="10" t="s">
        <v>15</v>
      </c>
      <c r="H30" s="13"/>
      <c r="I30" s="13"/>
      <c r="J30" s="10"/>
    </row>
    <row r="31" spans="1:10" x14ac:dyDescent="0.2">
      <c r="A31" s="2" t="s">
        <v>12</v>
      </c>
      <c r="B31" s="9">
        <v>1</v>
      </c>
      <c r="C31" s="9">
        <v>1</v>
      </c>
      <c r="D31" s="10" t="s">
        <v>57</v>
      </c>
      <c r="E31" s="11" t="s">
        <v>58</v>
      </c>
      <c r="F31" s="12">
        <v>1</v>
      </c>
      <c r="G31" s="10" t="s">
        <v>15</v>
      </c>
      <c r="H31" s="13"/>
      <c r="I31" s="6"/>
      <c r="J31" s="10"/>
    </row>
    <row r="32" spans="1:10" ht="42.75" x14ac:dyDescent="0.2">
      <c r="A32" s="2" t="s">
        <v>12</v>
      </c>
      <c r="B32" s="9">
        <v>1</v>
      </c>
      <c r="C32" s="9">
        <v>1</v>
      </c>
      <c r="D32" s="10" t="s">
        <v>59</v>
      </c>
      <c r="E32" s="11" t="s">
        <v>19</v>
      </c>
      <c r="F32" s="12">
        <v>1</v>
      </c>
      <c r="G32" s="10" t="s">
        <v>15</v>
      </c>
      <c r="H32" s="13"/>
      <c r="I32" s="13"/>
      <c r="J32" s="10"/>
    </row>
    <row r="33" spans="1:10" ht="117" x14ac:dyDescent="0.2">
      <c r="A33" s="2" t="s">
        <v>12</v>
      </c>
      <c r="B33" s="9">
        <v>1</v>
      </c>
      <c r="C33" s="9">
        <v>1</v>
      </c>
      <c r="D33" s="10" t="s">
        <v>60</v>
      </c>
      <c r="E33" s="11" t="s">
        <v>61</v>
      </c>
      <c r="F33" s="12">
        <v>1</v>
      </c>
      <c r="G33" s="10" t="s">
        <v>15</v>
      </c>
      <c r="H33" s="13"/>
      <c r="I33" s="13"/>
      <c r="J33" s="10"/>
    </row>
    <row r="34" spans="1:10" ht="28.5" x14ac:dyDescent="0.2">
      <c r="A34" s="2" t="s">
        <v>12</v>
      </c>
      <c r="B34" s="9">
        <v>1</v>
      </c>
      <c r="C34" s="9">
        <v>1</v>
      </c>
      <c r="D34" s="10" t="s">
        <v>62</v>
      </c>
      <c r="E34" s="11" t="s">
        <v>63</v>
      </c>
      <c r="F34" s="12">
        <v>1</v>
      </c>
      <c r="G34" s="10" t="s">
        <v>15</v>
      </c>
      <c r="H34" s="13"/>
      <c r="I34" s="13"/>
      <c r="J34" s="10"/>
    </row>
    <row r="35" spans="1:10" ht="58.5" x14ac:dyDescent="0.2">
      <c r="A35" s="2" t="s">
        <v>12</v>
      </c>
      <c r="B35" s="9">
        <v>1</v>
      </c>
      <c r="C35" s="9">
        <v>1</v>
      </c>
      <c r="D35" s="10" t="s">
        <v>64</v>
      </c>
      <c r="E35" s="11" t="s">
        <v>65</v>
      </c>
      <c r="F35" s="12">
        <v>1</v>
      </c>
      <c r="G35" s="10" t="s">
        <v>15</v>
      </c>
      <c r="H35" s="13"/>
      <c r="I35" s="13"/>
      <c r="J35" s="10"/>
    </row>
    <row r="36" spans="1:10" x14ac:dyDescent="0.2">
      <c r="A36" s="1" t="s">
        <v>66</v>
      </c>
      <c r="B36" s="1"/>
      <c r="C36" s="1"/>
      <c r="D36" s="1"/>
      <c r="E36" s="1"/>
      <c r="F36" s="1"/>
      <c r="G36" s="1"/>
      <c r="H36" s="1" t="s">
        <v>67</v>
      </c>
      <c r="I36" s="13">
        <f>I5+I6+I7+I12+I13+I14+I22+I23+I24+I29+I30+I32+I33+I34+I35</f>
        <v>0</v>
      </c>
      <c r="J36" s="1"/>
    </row>
    <row r="39" spans="1:10" ht="15" x14ac:dyDescent="0.25">
      <c r="A39" s="21" t="s">
        <v>68</v>
      </c>
      <c r="B39" s="22"/>
      <c r="C39" s="22"/>
      <c r="D39" s="22"/>
      <c r="E39" s="22"/>
      <c r="F39" s="22"/>
      <c r="G39" s="22"/>
      <c r="H39" s="22"/>
      <c r="I39" s="22"/>
      <c r="J39" s="22"/>
    </row>
    <row r="40" spans="1:10" ht="15" x14ac:dyDescent="0.25">
      <c r="A40" s="21" t="s">
        <v>1</v>
      </c>
      <c r="B40" s="22"/>
      <c r="C40" s="22"/>
      <c r="D40" s="22"/>
      <c r="E40" s="22"/>
      <c r="F40" s="22"/>
      <c r="G40" s="22"/>
      <c r="H40" s="22"/>
      <c r="I40" s="22"/>
      <c r="J40" s="22"/>
    </row>
    <row r="42" spans="1:10" ht="15" x14ac:dyDescent="0.25">
      <c r="A42" s="3" t="s">
        <v>2</v>
      </c>
      <c r="B42" s="3" t="s">
        <v>3</v>
      </c>
      <c r="C42" s="3" t="s">
        <v>4</v>
      </c>
      <c r="D42" s="3" t="s">
        <v>5</v>
      </c>
      <c r="E42" s="3" t="s">
        <v>6</v>
      </c>
      <c r="F42" s="7" t="s">
        <v>7</v>
      </c>
      <c r="G42" s="3" t="s">
        <v>8</v>
      </c>
      <c r="H42" s="7" t="s">
        <v>9</v>
      </c>
      <c r="I42" s="7" t="s">
        <v>10</v>
      </c>
      <c r="J42" s="3" t="s">
        <v>11</v>
      </c>
    </row>
    <row r="43" spans="1:10" ht="89.25" x14ac:dyDescent="0.2">
      <c r="A43" s="2" t="s">
        <v>12</v>
      </c>
      <c r="B43" s="9">
        <v>1</v>
      </c>
      <c r="C43" s="9">
        <v>2</v>
      </c>
      <c r="D43" s="10" t="s">
        <v>13</v>
      </c>
      <c r="E43" s="11" t="s">
        <v>69</v>
      </c>
      <c r="F43" s="12">
        <v>1</v>
      </c>
      <c r="G43" s="10" t="s">
        <v>31</v>
      </c>
      <c r="H43" s="13"/>
      <c r="I43" s="13"/>
      <c r="J43" s="10"/>
    </row>
    <row r="44" spans="1:10" ht="59.25" x14ac:dyDescent="0.2">
      <c r="A44" s="2" t="s">
        <v>12</v>
      </c>
      <c r="B44" s="9">
        <v>1</v>
      </c>
      <c r="C44" s="9">
        <v>2</v>
      </c>
      <c r="D44" s="10" t="s">
        <v>16</v>
      </c>
      <c r="E44" s="11" t="s">
        <v>70</v>
      </c>
      <c r="F44" s="12">
        <v>3</v>
      </c>
      <c r="G44" s="10" t="s">
        <v>31</v>
      </c>
      <c r="H44" s="13"/>
      <c r="I44" s="13"/>
      <c r="J44" s="10"/>
    </row>
    <row r="45" spans="1:10" ht="59.25" x14ac:dyDescent="0.2">
      <c r="A45" s="2" t="s">
        <v>12</v>
      </c>
      <c r="B45" s="9">
        <v>1</v>
      </c>
      <c r="C45" s="9">
        <v>2</v>
      </c>
      <c r="D45" s="10" t="s">
        <v>22</v>
      </c>
      <c r="E45" s="11" t="s">
        <v>71</v>
      </c>
      <c r="F45" s="12">
        <v>1</v>
      </c>
      <c r="G45" s="10" t="s">
        <v>31</v>
      </c>
      <c r="H45" s="13"/>
      <c r="I45" s="13"/>
      <c r="J45" s="10"/>
    </row>
    <row r="46" spans="1:10" ht="104.25" x14ac:dyDescent="0.2">
      <c r="A46" s="2" t="s">
        <v>12</v>
      </c>
      <c r="B46" s="9">
        <v>1</v>
      </c>
      <c r="C46" s="9">
        <v>2</v>
      </c>
      <c r="D46" s="10" t="s">
        <v>24</v>
      </c>
      <c r="E46" s="11" t="s">
        <v>72</v>
      </c>
      <c r="F46" s="12">
        <v>4</v>
      </c>
      <c r="G46" s="10" t="s">
        <v>31</v>
      </c>
      <c r="H46" s="13"/>
      <c r="I46" s="13"/>
      <c r="J46" s="10"/>
    </row>
    <row r="47" spans="1:10" x14ac:dyDescent="0.2">
      <c r="A47" s="1" t="s">
        <v>73</v>
      </c>
      <c r="B47" s="1"/>
      <c r="C47" s="1"/>
      <c r="D47" s="1"/>
      <c r="E47" s="1"/>
      <c r="F47" s="1"/>
      <c r="G47" s="1"/>
      <c r="H47" s="1" t="s">
        <v>67</v>
      </c>
      <c r="I47" s="13">
        <f>I43+I44+I45+I46</f>
        <v>0</v>
      </c>
      <c r="J47" s="1"/>
    </row>
    <row r="50" spans="1:10" ht="15" x14ac:dyDescent="0.25">
      <c r="A50" s="21" t="s">
        <v>74</v>
      </c>
      <c r="B50" s="22"/>
      <c r="C50" s="22"/>
      <c r="D50" s="22"/>
      <c r="E50" s="22"/>
      <c r="F50" s="22"/>
      <c r="G50" s="22"/>
      <c r="H50" s="22"/>
      <c r="I50" s="22"/>
      <c r="J50" s="22"/>
    </row>
    <row r="51" spans="1:10" ht="15" x14ac:dyDescent="0.25">
      <c r="A51" s="21" t="s">
        <v>1</v>
      </c>
      <c r="B51" s="22"/>
      <c r="C51" s="22"/>
      <c r="D51" s="22"/>
      <c r="E51" s="22"/>
      <c r="F51" s="22"/>
      <c r="G51" s="22"/>
      <c r="H51" s="22"/>
      <c r="I51" s="22"/>
      <c r="J51" s="22"/>
    </row>
    <row r="53" spans="1:10" ht="15" x14ac:dyDescent="0.25">
      <c r="A53" s="3" t="s">
        <v>2</v>
      </c>
      <c r="B53" s="3" t="s">
        <v>3</v>
      </c>
      <c r="C53" s="3" t="s">
        <v>4</v>
      </c>
      <c r="D53" s="3" t="s">
        <v>5</v>
      </c>
      <c r="E53" s="3" t="s">
        <v>6</v>
      </c>
      <c r="F53" s="7" t="s">
        <v>7</v>
      </c>
      <c r="G53" s="3" t="s">
        <v>8</v>
      </c>
      <c r="H53" s="7" t="s">
        <v>9</v>
      </c>
      <c r="I53" s="7" t="s">
        <v>10</v>
      </c>
      <c r="J53" s="3" t="s">
        <v>11</v>
      </c>
    </row>
    <row r="54" spans="1:10" ht="134.25" x14ac:dyDescent="0.2">
      <c r="A54" s="2" t="s">
        <v>12</v>
      </c>
      <c r="B54" s="9">
        <v>1</v>
      </c>
      <c r="C54" s="9">
        <v>3</v>
      </c>
      <c r="D54" s="10" t="s">
        <v>13</v>
      </c>
      <c r="E54" s="11" t="s">
        <v>75</v>
      </c>
      <c r="F54" s="12">
        <v>1</v>
      </c>
      <c r="G54" s="10" t="s">
        <v>31</v>
      </c>
      <c r="H54" s="13"/>
      <c r="I54" s="13"/>
      <c r="J54" s="10"/>
    </row>
    <row r="55" spans="1:10" ht="74.25" x14ac:dyDescent="0.2">
      <c r="A55" s="2" t="s">
        <v>12</v>
      </c>
      <c r="B55" s="9">
        <v>1</v>
      </c>
      <c r="C55" s="9">
        <v>3</v>
      </c>
      <c r="D55" s="10" t="s">
        <v>16</v>
      </c>
      <c r="E55" s="11" t="s">
        <v>76</v>
      </c>
      <c r="F55" s="12">
        <v>15</v>
      </c>
      <c r="G55" s="10" t="s">
        <v>31</v>
      </c>
      <c r="H55" s="13"/>
      <c r="I55" s="13"/>
      <c r="J55" s="10"/>
    </row>
    <row r="56" spans="1:10" ht="44.25" x14ac:dyDescent="0.2">
      <c r="A56" s="2" t="s">
        <v>12</v>
      </c>
      <c r="B56" s="9">
        <v>1</v>
      </c>
      <c r="C56" s="9">
        <v>3</v>
      </c>
      <c r="D56" s="10" t="s">
        <v>18</v>
      </c>
      <c r="E56" s="11" t="s">
        <v>77</v>
      </c>
      <c r="F56" s="12">
        <v>1</v>
      </c>
      <c r="G56" s="10" t="s">
        <v>31</v>
      </c>
      <c r="H56" s="13"/>
      <c r="I56" s="13"/>
      <c r="J56" s="10"/>
    </row>
    <row r="57" spans="1:10" ht="134.25" x14ac:dyDescent="0.2">
      <c r="A57" s="2" t="s">
        <v>12</v>
      </c>
      <c r="B57" s="9">
        <v>1</v>
      </c>
      <c r="C57" s="9">
        <v>3</v>
      </c>
      <c r="D57" s="10" t="s">
        <v>24</v>
      </c>
      <c r="E57" s="11" t="s">
        <v>78</v>
      </c>
      <c r="F57" s="12">
        <v>83</v>
      </c>
      <c r="G57" s="10" t="s">
        <v>79</v>
      </c>
      <c r="H57" s="13"/>
      <c r="I57" s="13"/>
      <c r="J57" s="10"/>
    </row>
    <row r="58" spans="1:10" x14ac:dyDescent="0.2">
      <c r="A58" s="1" t="s">
        <v>80</v>
      </c>
      <c r="B58" s="1"/>
      <c r="C58" s="1"/>
      <c r="D58" s="1"/>
      <c r="E58" s="1"/>
      <c r="F58" s="1"/>
      <c r="G58" s="1"/>
      <c r="H58" s="1" t="s">
        <v>67</v>
      </c>
      <c r="I58" s="13">
        <f>I54+I55+I56+I57</f>
        <v>0</v>
      </c>
      <c r="J58" s="1"/>
    </row>
    <row r="61" spans="1:10" ht="15" x14ac:dyDescent="0.25">
      <c r="A61" s="21" t="s">
        <v>81</v>
      </c>
      <c r="B61" s="22"/>
      <c r="C61" s="22"/>
      <c r="D61" s="22"/>
      <c r="E61" s="22"/>
      <c r="F61" s="22"/>
      <c r="G61" s="22"/>
      <c r="H61" s="22"/>
      <c r="I61" s="22"/>
      <c r="J61" s="22"/>
    </row>
    <row r="62" spans="1:10" ht="15" x14ac:dyDescent="0.25">
      <c r="A62" s="21" t="s">
        <v>1</v>
      </c>
      <c r="B62" s="22"/>
      <c r="C62" s="22"/>
      <c r="D62" s="22"/>
      <c r="E62" s="22"/>
      <c r="F62" s="22"/>
      <c r="G62" s="22"/>
      <c r="H62" s="22"/>
      <c r="I62" s="22"/>
      <c r="J62" s="22"/>
    </row>
    <row r="64" spans="1:10" ht="15" x14ac:dyDescent="0.25">
      <c r="A64" s="3" t="s">
        <v>2</v>
      </c>
      <c r="B64" s="3" t="s">
        <v>3</v>
      </c>
      <c r="C64" s="3" t="s">
        <v>4</v>
      </c>
      <c r="D64" s="3" t="s">
        <v>5</v>
      </c>
      <c r="E64" s="3" t="s">
        <v>6</v>
      </c>
      <c r="F64" s="7" t="s">
        <v>7</v>
      </c>
      <c r="G64" s="3" t="s">
        <v>8</v>
      </c>
      <c r="H64" s="7" t="s">
        <v>9</v>
      </c>
      <c r="I64" s="7" t="s">
        <v>10</v>
      </c>
      <c r="J64" s="3" t="s">
        <v>11</v>
      </c>
    </row>
    <row r="65" spans="1:10" ht="89.25" x14ac:dyDescent="0.2">
      <c r="A65" s="2" t="s">
        <v>12</v>
      </c>
      <c r="B65" s="9">
        <v>1</v>
      </c>
      <c r="C65" s="9">
        <v>4</v>
      </c>
      <c r="D65" s="10" t="s">
        <v>16</v>
      </c>
      <c r="E65" s="11" t="s">
        <v>82</v>
      </c>
      <c r="F65" s="12">
        <v>106</v>
      </c>
      <c r="G65" s="10" t="s">
        <v>83</v>
      </c>
      <c r="H65" s="13"/>
      <c r="I65" s="13"/>
      <c r="J65" s="10"/>
    </row>
    <row r="66" spans="1:10" x14ac:dyDescent="0.2">
      <c r="A66" s="2" t="s">
        <v>12</v>
      </c>
      <c r="B66" s="9">
        <v>1</v>
      </c>
      <c r="C66" s="9">
        <v>4</v>
      </c>
      <c r="D66" s="10" t="s">
        <v>18</v>
      </c>
      <c r="E66" s="11" t="s">
        <v>84</v>
      </c>
      <c r="F66" s="12">
        <v>56.999999999999993</v>
      </c>
      <c r="G66" s="10" t="s">
        <v>83</v>
      </c>
      <c r="H66" s="13"/>
      <c r="I66" s="13"/>
      <c r="J66" s="10"/>
    </row>
    <row r="67" spans="1:10" ht="74.25" x14ac:dyDescent="0.2">
      <c r="A67" s="2" t="s">
        <v>12</v>
      </c>
      <c r="B67" s="9">
        <v>1</v>
      </c>
      <c r="C67" s="9">
        <v>4</v>
      </c>
      <c r="D67" s="10" t="s">
        <v>20</v>
      </c>
      <c r="E67" s="11" t="s">
        <v>85</v>
      </c>
      <c r="F67" s="12">
        <v>1</v>
      </c>
      <c r="G67" s="10" t="s">
        <v>15</v>
      </c>
      <c r="H67" s="13"/>
      <c r="I67" s="6"/>
      <c r="J67" s="10"/>
    </row>
    <row r="68" spans="1:10" x14ac:dyDescent="0.2">
      <c r="A68" s="2" t="s">
        <v>12</v>
      </c>
      <c r="B68" s="9">
        <v>1</v>
      </c>
      <c r="C68" s="9">
        <v>4</v>
      </c>
      <c r="D68" s="10" t="s">
        <v>22</v>
      </c>
      <c r="E68" s="11" t="s">
        <v>86</v>
      </c>
      <c r="F68" s="12">
        <v>1</v>
      </c>
      <c r="G68" s="10" t="s">
        <v>15</v>
      </c>
      <c r="H68" s="13"/>
      <c r="I68" s="6"/>
      <c r="J68" s="10"/>
    </row>
    <row r="69" spans="1:10" ht="44.25" x14ac:dyDescent="0.2">
      <c r="A69" s="2" t="s">
        <v>12</v>
      </c>
      <c r="B69" s="9">
        <v>1</v>
      </c>
      <c r="C69" s="9">
        <v>4</v>
      </c>
      <c r="D69" s="10" t="s">
        <v>24</v>
      </c>
      <c r="E69" s="11" t="s">
        <v>87</v>
      </c>
      <c r="F69" s="12">
        <v>83</v>
      </c>
      <c r="G69" s="10" t="s">
        <v>79</v>
      </c>
      <c r="H69" s="13"/>
      <c r="I69" s="13"/>
      <c r="J69" s="10"/>
    </row>
    <row r="70" spans="1:10" x14ac:dyDescent="0.2">
      <c r="A70" s="1" t="s">
        <v>88</v>
      </c>
      <c r="B70" s="1"/>
      <c r="C70" s="1"/>
      <c r="D70" s="1"/>
      <c r="E70" s="1"/>
      <c r="F70" s="1"/>
      <c r="G70" s="1"/>
      <c r="H70" s="1" t="s">
        <v>67</v>
      </c>
      <c r="I70" s="13">
        <f>I65+I66+I69</f>
        <v>0</v>
      </c>
      <c r="J70" s="1"/>
    </row>
    <row r="78" spans="1:10" ht="15" x14ac:dyDescent="0.25">
      <c r="A78" s="3" t="s">
        <v>89</v>
      </c>
      <c r="B78" s="14"/>
      <c r="C78" s="14"/>
      <c r="D78" s="14"/>
      <c r="E78" s="14"/>
      <c r="F78" s="14"/>
      <c r="G78" s="14"/>
      <c r="H78" s="14"/>
      <c r="I78" s="7" t="s">
        <v>90</v>
      </c>
    </row>
    <row r="79" spans="1:10" x14ac:dyDescent="0.2">
      <c r="A79" s="15" t="s">
        <v>91</v>
      </c>
      <c r="I79" s="16">
        <f>I36</f>
        <v>0</v>
      </c>
    </row>
    <row r="80" spans="1:10" x14ac:dyDescent="0.2">
      <c r="A80" s="15" t="s">
        <v>92</v>
      </c>
      <c r="I80" s="16">
        <f>I47</f>
        <v>0</v>
      </c>
    </row>
    <row r="81" spans="1:10" x14ac:dyDescent="0.2">
      <c r="A81" s="15" t="s">
        <v>93</v>
      </c>
      <c r="I81" s="16">
        <f>I58</f>
        <v>0</v>
      </c>
    </row>
    <row r="82" spans="1:10" x14ac:dyDescent="0.2">
      <c r="A82" s="15" t="s">
        <v>94</v>
      </c>
      <c r="I82" s="16">
        <f>I70</f>
        <v>0</v>
      </c>
    </row>
    <row r="83" spans="1:10" x14ac:dyDescent="0.2">
      <c r="A83" s="15"/>
      <c r="I83" s="15"/>
    </row>
    <row r="84" spans="1:10" x14ac:dyDescent="0.2">
      <c r="A84" s="17"/>
      <c r="B84" s="18"/>
      <c r="C84" s="18"/>
      <c r="D84" s="18"/>
      <c r="E84" s="18"/>
      <c r="F84" s="18"/>
      <c r="G84" s="18"/>
      <c r="H84" s="18"/>
      <c r="I84" s="17"/>
    </row>
    <row r="85" spans="1:10" x14ac:dyDescent="0.2">
      <c r="H85" s="4" t="s">
        <v>95</v>
      </c>
      <c r="I85" s="13">
        <f>SUM(I79:I84)</f>
        <v>0</v>
      </c>
    </row>
    <row r="89" spans="1:10" ht="15" x14ac:dyDescent="0.25">
      <c r="A89" s="21" t="s">
        <v>96</v>
      </c>
      <c r="B89" s="22"/>
      <c r="C89" s="22"/>
      <c r="D89" s="22"/>
      <c r="E89" s="22"/>
      <c r="F89" s="22"/>
      <c r="G89" s="22"/>
      <c r="H89" s="22"/>
      <c r="I89" s="22"/>
      <c r="J89" s="22"/>
    </row>
    <row r="90" spans="1:10" ht="15" x14ac:dyDescent="0.25">
      <c r="A90" s="21" t="s">
        <v>97</v>
      </c>
      <c r="B90" s="22"/>
      <c r="C90" s="22"/>
      <c r="D90" s="22"/>
      <c r="E90" s="22"/>
      <c r="F90" s="22"/>
      <c r="G90" s="22"/>
      <c r="H90" s="22"/>
      <c r="I90" s="22"/>
      <c r="J90" s="22"/>
    </row>
    <row r="92" spans="1:10" ht="15" x14ac:dyDescent="0.25">
      <c r="A92" s="3" t="s">
        <v>2</v>
      </c>
      <c r="B92" s="3" t="s">
        <v>3</v>
      </c>
      <c r="C92" s="3" t="s">
        <v>4</v>
      </c>
      <c r="D92" s="3" t="s">
        <v>5</v>
      </c>
      <c r="E92" s="3" t="s">
        <v>6</v>
      </c>
      <c r="F92" s="7" t="s">
        <v>7</v>
      </c>
      <c r="G92" s="3" t="s">
        <v>8</v>
      </c>
      <c r="H92" s="7" t="s">
        <v>9</v>
      </c>
      <c r="I92" s="7" t="s">
        <v>10</v>
      </c>
      <c r="J92" s="3" t="s">
        <v>11</v>
      </c>
    </row>
    <row r="93" spans="1:10" ht="88.5" x14ac:dyDescent="0.2">
      <c r="A93" s="2" t="s">
        <v>98</v>
      </c>
      <c r="B93" s="9">
        <v>1</v>
      </c>
      <c r="C93" s="9">
        <v>1</v>
      </c>
      <c r="D93" s="10" t="s">
        <v>13</v>
      </c>
      <c r="E93" s="11" t="s">
        <v>99</v>
      </c>
      <c r="F93" s="12">
        <v>1</v>
      </c>
      <c r="G93" s="10" t="s">
        <v>100</v>
      </c>
      <c r="H93" s="13"/>
      <c r="I93" s="6"/>
      <c r="J93" s="10"/>
    </row>
    <row r="94" spans="1:10" x14ac:dyDescent="0.2">
      <c r="A94" s="2" t="s">
        <v>98</v>
      </c>
      <c r="B94" s="9">
        <v>1</v>
      </c>
      <c r="C94" s="9">
        <v>1</v>
      </c>
      <c r="D94" s="10" t="s">
        <v>16</v>
      </c>
      <c r="E94" s="11" t="s">
        <v>101</v>
      </c>
      <c r="F94" s="12">
        <v>1</v>
      </c>
      <c r="G94" s="10" t="s">
        <v>100</v>
      </c>
      <c r="H94" s="13"/>
      <c r="I94" s="6"/>
      <c r="J94" s="10"/>
    </row>
    <row r="95" spans="1:10" ht="44.25" x14ac:dyDescent="0.2">
      <c r="A95" s="2" t="s">
        <v>98</v>
      </c>
      <c r="B95" s="9">
        <v>1</v>
      </c>
      <c r="C95" s="9">
        <v>1</v>
      </c>
      <c r="D95" s="10" t="s">
        <v>18</v>
      </c>
      <c r="E95" s="11" t="s">
        <v>102</v>
      </c>
      <c r="F95" s="12">
        <v>105</v>
      </c>
      <c r="G95" s="10" t="s">
        <v>79</v>
      </c>
      <c r="H95" s="13"/>
      <c r="I95" s="13"/>
      <c r="J95" s="10"/>
    </row>
    <row r="96" spans="1:10" x14ac:dyDescent="0.2">
      <c r="A96" s="2" t="s">
        <v>98</v>
      </c>
      <c r="B96" s="9">
        <v>1</v>
      </c>
      <c r="C96" s="9">
        <v>1</v>
      </c>
      <c r="D96" s="10" t="s">
        <v>20</v>
      </c>
      <c r="E96" s="11" t="s">
        <v>103</v>
      </c>
      <c r="F96" s="12">
        <v>109.00000000000001</v>
      </c>
      <c r="G96" s="10" t="s">
        <v>79</v>
      </c>
      <c r="H96" s="13"/>
      <c r="I96" s="13"/>
      <c r="J96" s="10"/>
    </row>
    <row r="97" spans="1:10" x14ac:dyDescent="0.2">
      <c r="A97" s="2" t="s">
        <v>98</v>
      </c>
      <c r="B97" s="9">
        <v>1</v>
      </c>
      <c r="C97" s="9">
        <v>1</v>
      </c>
      <c r="D97" s="10" t="s">
        <v>22</v>
      </c>
      <c r="E97" s="11" t="s">
        <v>104</v>
      </c>
      <c r="F97" s="12">
        <v>17</v>
      </c>
      <c r="G97" s="10" t="s">
        <v>79</v>
      </c>
      <c r="H97" s="13"/>
      <c r="I97" s="13"/>
      <c r="J97" s="10"/>
    </row>
    <row r="98" spans="1:10" x14ac:dyDescent="0.2">
      <c r="A98" s="2" t="s">
        <v>98</v>
      </c>
      <c r="B98" s="9">
        <v>1</v>
      </c>
      <c r="C98" s="9">
        <v>1</v>
      </c>
      <c r="D98" s="10" t="s">
        <v>24</v>
      </c>
      <c r="E98" s="11" t="s">
        <v>105</v>
      </c>
      <c r="F98" s="12">
        <v>142</v>
      </c>
      <c r="G98" s="10" t="s">
        <v>79</v>
      </c>
      <c r="H98" s="13"/>
      <c r="I98" s="13"/>
      <c r="J98" s="10"/>
    </row>
    <row r="99" spans="1:10" x14ac:dyDescent="0.2">
      <c r="A99" s="2" t="s">
        <v>98</v>
      </c>
      <c r="B99" s="9">
        <v>1</v>
      </c>
      <c r="C99" s="9">
        <v>1</v>
      </c>
      <c r="D99" s="10" t="s">
        <v>27</v>
      </c>
      <c r="E99" s="11" t="s">
        <v>106</v>
      </c>
      <c r="F99" s="12">
        <v>7.0000000000000009</v>
      </c>
      <c r="G99" s="10" t="s">
        <v>79</v>
      </c>
      <c r="H99" s="13"/>
      <c r="I99" s="13"/>
      <c r="J99" s="10"/>
    </row>
    <row r="100" spans="1:10" x14ac:dyDescent="0.2">
      <c r="A100" s="2" t="s">
        <v>98</v>
      </c>
      <c r="B100" s="9">
        <v>1</v>
      </c>
      <c r="C100" s="9">
        <v>1</v>
      </c>
      <c r="D100" s="10" t="s">
        <v>29</v>
      </c>
      <c r="E100" s="11" t="s">
        <v>107</v>
      </c>
      <c r="F100" s="12">
        <v>31</v>
      </c>
      <c r="G100" s="10" t="s">
        <v>79</v>
      </c>
      <c r="H100" s="13"/>
      <c r="I100" s="13"/>
      <c r="J100" s="10"/>
    </row>
    <row r="101" spans="1:10" ht="59.25" x14ac:dyDescent="0.2">
      <c r="A101" s="2" t="s">
        <v>98</v>
      </c>
      <c r="B101" s="9">
        <v>1</v>
      </c>
      <c r="C101" s="9">
        <v>1</v>
      </c>
      <c r="D101" s="10" t="s">
        <v>34</v>
      </c>
      <c r="E101" s="11" t="s">
        <v>108</v>
      </c>
      <c r="F101" s="12">
        <v>796.99999999999989</v>
      </c>
      <c r="G101" s="10" t="s">
        <v>109</v>
      </c>
      <c r="H101" s="13"/>
      <c r="I101" s="13"/>
      <c r="J101" s="10"/>
    </row>
    <row r="102" spans="1:10" ht="44.25" x14ac:dyDescent="0.2">
      <c r="A102" s="2" t="s">
        <v>98</v>
      </c>
      <c r="B102" s="9">
        <v>1</v>
      </c>
      <c r="C102" s="9">
        <v>1</v>
      </c>
      <c r="D102" s="10" t="s">
        <v>35</v>
      </c>
      <c r="E102" s="11" t="s">
        <v>110</v>
      </c>
      <c r="F102" s="12">
        <v>421</v>
      </c>
      <c r="G102" s="10" t="s">
        <v>109</v>
      </c>
      <c r="H102" s="13"/>
      <c r="I102" s="13"/>
      <c r="J102" s="10"/>
    </row>
    <row r="103" spans="1:10" x14ac:dyDescent="0.2">
      <c r="A103" s="2" t="s">
        <v>98</v>
      </c>
      <c r="B103" s="9">
        <v>1</v>
      </c>
      <c r="C103" s="9">
        <v>1</v>
      </c>
      <c r="D103" s="10" t="s">
        <v>36</v>
      </c>
      <c r="E103" s="11" t="s">
        <v>111</v>
      </c>
      <c r="F103" s="12">
        <v>359.00000000000006</v>
      </c>
      <c r="G103" s="10" t="s">
        <v>109</v>
      </c>
      <c r="H103" s="13"/>
      <c r="I103" s="13"/>
      <c r="J103" s="10"/>
    </row>
    <row r="104" spans="1:10" x14ac:dyDescent="0.2">
      <c r="A104" s="2" t="s">
        <v>98</v>
      </c>
      <c r="B104" s="9">
        <v>1</v>
      </c>
      <c r="C104" s="9">
        <v>1</v>
      </c>
      <c r="D104" s="10" t="s">
        <v>40</v>
      </c>
      <c r="E104" s="11" t="s">
        <v>112</v>
      </c>
      <c r="F104" s="12">
        <v>17</v>
      </c>
      <c r="G104" s="10" t="s">
        <v>109</v>
      </c>
      <c r="H104" s="13"/>
      <c r="I104" s="13"/>
      <c r="J104" s="10"/>
    </row>
    <row r="105" spans="1:10" ht="44.25" x14ac:dyDescent="0.2">
      <c r="A105" s="2" t="s">
        <v>98</v>
      </c>
      <c r="B105" s="9">
        <v>1</v>
      </c>
      <c r="C105" s="9">
        <v>1</v>
      </c>
      <c r="D105" s="10" t="s">
        <v>42</v>
      </c>
      <c r="E105" s="11" t="s">
        <v>113</v>
      </c>
      <c r="F105" s="12">
        <v>1</v>
      </c>
      <c r="G105" s="10" t="s">
        <v>100</v>
      </c>
      <c r="H105" s="13"/>
      <c r="I105" s="6"/>
      <c r="J105" s="10"/>
    </row>
    <row r="106" spans="1:10" x14ac:dyDescent="0.2">
      <c r="A106" s="2" t="s">
        <v>98</v>
      </c>
      <c r="B106" s="9">
        <v>1</v>
      </c>
      <c r="C106" s="9">
        <v>1</v>
      </c>
      <c r="D106" s="10" t="s">
        <v>44</v>
      </c>
      <c r="E106" s="11" t="s">
        <v>114</v>
      </c>
      <c r="F106" s="12">
        <v>1</v>
      </c>
      <c r="G106" s="10" t="s">
        <v>100</v>
      </c>
      <c r="H106" s="13"/>
      <c r="I106" s="13"/>
      <c r="J106" s="10"/>
    </row>
    <row r="107" spans="1:10" x14ac:dyDescent="0.2">
      <c r="A107" s="2" t="s">
        <v>98</v>
      </c>
      <c r="B107" s="9">
        <v>1</v>
      </c>
      <c r="C107" s="9">
        <v>1</v>
      </c>
      <c r="D107" s="10" t="s">
        <v>46</v>
      </c>
      <c r="E107" s="11" t="s">
        <v>115</v>
      </c>
      <c r="F107" s="12">
        <v>411.00000000000006</v>
      </c>
      <c r="G107" s="10" t="s">
        <v>79</v>
      </c>
      <c r="H107" s="13"/>
      <c r="I107" s="13"/>
      <c r="J107" s="10"/>
    </row>
    <row r="108" spans="1:10" x14ac:dyDescent="0.2">
      <c r="A108" s="1" t="s">
        <v>116</v>
      </c>
      <c r="B108" s="1"/>
      <c r="C108" s="1"/>
      <c r="D108" s="1"/>
      <c r="E108" s="1"/>
      <c r="F108" s="1"/>
      <c r="G108" s="1"/>
      <c r="H108" s="1" t="s">
        <v>67</v>
      </c>
      <c r="I108" s="13">
        <f>I95+I96+I97+I98+I99+I100+I101+I102+I103+I104+I106+I107</f>
        <v>0</v>
      </c>
      <c r="J108" s="1"/>
    </row>
    <row r="111" spans="1:10" ht="15" x14ac:dyDescent="0.25">
      <c r="A111" s="21" t="s">
        <v>117</v>
      </c>
      <c r="B111" s="22"/>
      <c r="C111" s="22"/>
      <c r="D111" s="22"/>
      <c r="E111" s="22"/>
      <c r="F111" s="22"/>
      <c r="G111" s="22"/>
      <c r="H111" s="22"/>
      <c r="I111" s="22"/>
      <c r="J111" s="22"/>
    </row>
    <row r="112" spans="1:10" ht="15" x14ac:dyDescent="0.25">
      <c r="A112" s="21" t="s">
        <v>97</v>
      </c>
      <c r="B112" s="22"/>
      <c r="C112" s="22"/>
      <c r="D112" s="22"/>
      <c r="E112" s="22"/>
      <c r="F112" s="22"/>
      <c r="G112" s="22"/>
      <c r="H112" s="22"/>
      <c r="I112" s="22"/>
      <c r="J112" s="22"/>
    </row>
    <row r="114" spans="1:10" ht="15" x14ac:dyDescent="0.25">
      <c r="A114" s="3" t="s">
        <v>2</v>
      </c>
      <c r="B114" s="3" t="s">
        <v>3</v>
      </c>
      <c r="C114" s="3" t="s">
        <v>4</v>
      </c>
      <c r="D114" s="3" t="s">
        <v>5</v>
      </c>
      <c r="E114" s="3" t="s">
        <v>6</v>
      </c>
      <c r="F114" s="7" t="s">
        <v>7</v>
      </c>
      <c r="G114" s="3" t="s">
        <v>8</v>
      </c>
      <c r="H114" s="7" t="s">
        <v>9</v>
      </c>
      <c r="I114" s="7" t="s">
        <v>10</v>
      </c>
      <c r="J114" s="3" t="s">
        <v>11</v>
      </c>
    </row>
    <row r="115" spans="1:10" ht="58.5" x14ac:dyDescent="0.2">
      <c r="A115" s="2" t="s">
        <v>98</v>
      </c>
      <c r="B115" s="9">
        <v>1</v>
      </c>
      <c r="C115" s="9">
        <v>2</v>
      </c>
      <c r="D115" s="10" t="s">
        <v>13</v>
      </c>
      <c r="E115" s="11" t="s">
        <v>118</v>
      </c>
      <c r="F115" s="12">
        <v>874</v>
      </c>
      <c r="G115" s="10" t="s">
        <v>109</v>
      </c>
      <c r="H115" s="13"/>
      <c r="I115" s="13"/>
      <c r="J115" s="10"/>
    </row>
    <row r="116" spans="1:10" ht="28.5" x14ac:dyDescent="0.2">
      <c r="A116" s="2" t="s">
        <v>98</v>
      </c>
      <c r="B116" s="9">
        <v>1</v>
      </c>
      <c r="C116" s="9">
        <v>2</v>
      </c>
      <c r="D116" s="10" t="s">
        <v>16</v>
      </c>
      <c r="E116" s="11" t="s">
        <v>119</v>
      </c>
      <c r="F116" s="12">
        <v>55.000000000000007</v>
      </c>
      <c r="G116" s="10" t="s">
        <v>109</v>
      </c>
      <c r="H116" s="13"/>
      <c r="I116" s="13"/>
      <c r="J116" s="10"/>
    </row>
    <row r="117" spans="1:10" ht="87" x14ac:dyDescent="0.2">
      <c r="A117" s="2" t="s">
        <v>98</v>
      </c>
      <c r="B117" s="9">
        <v>1</v>
      </c>
      <c r="C117" s="9">
        <v>2</v>
      </c>
      <c r="D117" s="10" t="s">
        <v>18</v>
      </c>
      <c r="E117" s="11" t="s">
        <v>120</v>
      </c>
      <c r="F117" s="12">
        <v>0</v>
      </c>
      <c r="G117" s="10"/>
      <c r="H117" s="13"/>
      <c r="I117" s="6"/>
      <c r="J117" s="10"/>
    </row>
    <row r="118" spans="1:10" x14ac:dyDescent="0.2">
      <c r="A118" s="2" t="s">
        <v>98</v>
      </c>
      <c r="B118" s="9">
        <v>1</v>
      </c>
      <c r="C118" s="9">
        <v>2</v>
      </c>
      <c r="D118" s="10" t="s">
        <v>20</v>
      </c>
      <c r="E118" s="11" t="s">
        <v>121</v>
      </c>
      <c r="F118" s="12">
        <v>1</v>
      </c>
      <c r="G118" s="10" t="s">
        <v>100</v>
      </c>
      <c r="H118" s="13"/>
      <c r="I118" s="13"/>
      <c r="J118" s="10"/>
    </row>
    <row r="119" spans="1:10" x14ac:dyDescent="0.2">
      <c r="A119" s="2" t="s">
        <v>98</v>
      </c>
      <c r="B119" s="9">
        <v>1</v>
      </c>
      <c r="C119" s="9">
        <v>2</v>
      </c>
      <c r="D119" s="10" t="s">
        <v>22</v>
      </c>
      <c r="E119" s="11" t="s">
        <v>122</v>
      </c>
      <c r="F119" s="12">
        <v>1</v>
      </c>
      <c r="G119" s="10" t="s">
        <v>100</v>
      </c>
      <c r="H119" s="13"/>
      <c r="I119" s="6"/>
      <c r="J119" s="10"/>
    </row>
    <row r="120" spans="1:10" x14ac:dyDescent="0.2">
      <c r="A120" s="2" t="s">
        <v>98</v>
      </c>
      <c r="B120" s="9">
        <v>1</v>
      </c>
      <c r="C120" s="9">
        <v>2</v>
      </c>
      <c r="D120" s="10" t="s">
        <v>22</v>
      </c>
      <c r="E120" s="11" t="s">
        <v>123</v>
      </c>
      <c r="F120" s="12">
        <v>114.00000000000001</v>
      </c>
      <c r="G120" s="10" t="s">
        <v>124</v>
      </c>
      <c r="H120" s="13"/>
      <c r="I120" s="13"/>
      <c r="J120" s="10"/>
    </row>
    <row r="121" spans="1:10" x14ac:dyDescent="0.2">
      <c r="A121" s="2" t="s">
        <v>98</v>
      </c>
      <c r="B121" s="9">
        <v>1</v>
      </c>
      <c r="C121" s="9">
        <v>2</v>
      </c>
      <c r="D121" s="10" t="s">
        <v>24</v>
      </c>
      <c r="E121" s="11" t="s">
        <v>125</v>
      </c>
      <c r="F121" s="12">
        <v>114.00000000000001</v>
      </c>
      <c r="G121" s="10" t="s">
        <v>124</v>
      </c>
      <c r="H121" s="13"/>
      <c r="I121" s="13"/>
      <c r="J121" s="10"/>
    </row>
    <row r="122" spans="1:10" x14ac:dyDescent="0.2">
      <c r="A122" s="2" t="s">
        <v>98</v>
      </c>
      <c r="B122" s="9">
        <v>1</v>
      </c>
      <c r="C122" s="9">
        <v>2</v>
      </c>
      <c r="D122" s="10" t="s">
        <v>24</v>
      </c>
      <c r="E122" s="11" t="s">
        <v>126</v>
      </c>
      <c r="F122" s="12">
        <v>1</v>
      </c>
      <c r="G122" s="10" t="s">
        <v>127</v>
      </c>
      <c r="H122" s="13"/>
      <c r="I122" s="13"/>
      <c r="J122" s="10"/>
    </row>
    <row r="123" spans="1:10" x14ac:dyDescent="0.2">
      <c r="A123" s="2" t="s">
        <v>98</v>
      </c>
      <c r="B123" s="9">
        <v>1</v>
      </c>
      <c r="C123" s="9">
        <v>2</v>
      </c>
      <c r="D123" s="10" t="s">
        <v>27</v>
      </c>
      <c r="E123" s="11" t="s">
        <v>128</v>
      </c>
      <c r="F123" s="12">
        <v>114.00000000000001</v>
      </c>
      <c r="G123" s="10" t="s">
        <v>124</v>
      </c>
      <c r="H123" s="13"/>
      <c r="I123" s="13"/>
      <c r="J123" s="10"/>
    </row>
    <row r="124" spans="1:10" x14ac:dyDescent="0.2">
      <c r="A124" s="2" t="s">
        <v>98</v>
      </c>
      <c r="B124" s="9">
        <v>1</v>
      </c>
      <c r="C124" s="9">
        <v>2</v>
      </c>
      <c r="D124" s="10" t="s">
        <v>29</v>
      </c>
      <c r="E124" s="11" t="s">
        <v>129</v>
      </c>
      <c r="F124" s="12">
        <v>114.00000000000001</v>
      </c>
      <c r="G124" s="10" t="s">
        <v>124</v>
      </c>
      <c r="H124" s="13"/>
      <c r="I124" s="13"/>
      <c r="J124" s="10"/>
    </row>
    <row r="125" spans="1:10" ht="28.5" x14ac:dyDescent="0.2">
      <c r="A125" s="2" t="s">
        <v>98</v>
      </c>
      <c r="B125" s="9">
        <v>1</v>
      </c>
      <c r="C125" s="9">
        <v>2</v>
      </c>
      <c r="D125" s="10" t="s">
        <v>32</v>
      </c>
      <c r="E125" s="11" t="s">
        <v>130</v>
      </c>
      <c r="F125" s="12">
        <v>181</v>
      </c>
      <c r="G125" s="10" t="s">
        <v>79</v>
      </c>
      <c r="H125" s="13"/>
      <c r="I125" s="13"/>
      <c r="J125" s="10"/>
    </row>
    <row r="126" spans="1:10" x14ac:dyDescent="0.2">
      <c r="A126" s="2" t="s">
        <v>98</v>
      </c>
      <c r="B126" s="9">
        <v>1</v>
      </c>
      <c r="C126" s="9">
        <v>2</v>
      </c>
      <c r="D126" s="10" t="s">
        <v>33</v>
      </c>
      <c r="E126" s="11" t="s">
        <v>131</v>
      </c>
      <c r="F126" s="12">
        <v>1</v>
      </c>
      <c r="G126" s="10" t="s">
        <v>100</v>
      </c>
      <c r="H126" s="13"/>
      <c r="I126" s="13"/>
      <c r="J126" s="10"/>
    </row>
    <row r="127" spans="1:10" x14ac:dyDescent="0.2">
      <c r="A127" s="2" t="s">
        <v>98</v>
      </c>
      <c r="B127" s="9">
        <v>1</v>
      </c>
      <c r="C127" s="9">
        <v>2</v>
      </c>
      <c r="D127" s="10" t="s">
        <v>34</v>
      </c>
      <c r="E127" s="11" t="s">
        <v>132</v>
      </c>
      <c r="F127" s="12">
        <v>1</v>
      </c>
      <c r="G127" s="10" t="s">
        <v>100</v>
      </c>
      <c r="H127" s="13"/>
      <c r="I127" s="13"/>
      <c r="J127" s="10"/>
    </row>
    <row r="128" spans="1:10" x14ac:dyDescent="0.2">
      <c r="A128" s="2" t="s">
        <v>98</v>
      </c>
      <c r="B128" s="9">
        <v>1</v>
      </c>
      <c r="C128" s="9">
        <v>2</v>
      </c>
      <c r="D128" s="10" t="s">
        <v>35</v>
      </c>
      <c r="E128" s="11" t="s">
        <v>133</v>
      </c>
      <c r="F128" s="12">
        <v>1</v>
      </c>
      <c r="G128" s="10" t="s">
        <v>100</v>
      </c>
      <c r="H128" s="13"/>
      <c r="I128" s="13"/>
      <c r="J128" s="10"/>
    </row>
    <row r="129" spans="1:10" x14ac:dyDescent="0.2">
      <c r="A129" s="2" t="s">
        <v>98</v>
      </c>
      <c r="B129" s="9">
        <v>1</v>
      </c>
      <c r="C129" s="9">
        <v>2</v>
      </c>
      <c r="D129" s="10" t="s">
        <v>36</v>
      </c>
      <c r="E129" s="11" t="s">
        <v>134</v>
      </c>
      <c r="F129" s="12">
        <v>1</v>
      </c>
      <c r="G129" s="10" t="s">
        <v>100</v>
      </c>
      <c r="H129" s="13"/>
      <c r="I129" s="6"/>
      <c r="J129" s="10"/>
    </row>
    <row r="130" spans="1:10" x14ac:dyDescent="0.2">
      <c r="A130" s="2" t="s">
        <v>98</v>
      </c>
      <c r="B130" s="9">
        <v>1</v>
      </c>
      <c r="C130" s="9">
        <v>2</v>
      </c>
      <c r="D130" s="10" t="s">
        <v>38</v>
      </c>
      <c r="E130" s="11" t="s">
        <v>135</v>
      </c>
      <c r="F130" s="12">
        <v>1</v>
      </c>
      <c r="G130" s="10" t="s">
        <v>100</v>
      </c>
      <c r="H130" s="13"/>
      <c r="I130" s="13"/>
      <c r="J130" s="10"/>
    </row>
    <row r="131" spans="1:10" x14ac:dyDescent="0.2">
      <c r="A131" s="2" t="s">
        <v>98</v>
      </c>
      <c r="B131" s="9">
        <v>1</v>
      </c>
      <c r="C131" s="9">
        <v>2</v>
      </c>
      <c r="D131" s="10" t="s">
        <v>40</v>
      </c>
      <c r="E131" s="11" t="s">
        <v>136</v>
      </c>
      <c r="F131" s="12">
        <v>1</v>
      </c>
      <c r="G131" s="10" t="s">
        <v>100</v>
      </c>
      <c r="H131" s="13"/>
      <c r="I131" s="13"/>
      <c r="J131" s="10"/>
    </row>
    <row r="132" spans="1:10" x14ac:dyDescent="0.2">
      <c r="A132" s="2" t="s">
        <v>98</v>
      </c>
      <c r="B132" s="9">
        <v>1</v>
      </c>
      <c r="C132" s="9">
        <v>2</v>
      </c>
      <c r="D132" s="10" t="s">
        <v>42</v>
      </c>
      <c r="E132" s="11" t="s">
        <v>137</v>
      </c>
      <c r="F132" s="12">
        <v>5</v>
      </c>
      <c r="G132" s="10" t="s">
        <v>138</v>
      </c>
      <c r="H132" s="13"/>
      <c r="I132" s="13"/>
      <c r="J132" s="10"/>
    </row>
    <row r="133" spans="1:10" ht="88.5" x14ac:dyDescent="0.2">
      <c r="A133" s="2" t="s">
        <v>98</v>
      </c>
      <c r="B133" s="9">
        <v>1</v>
      </c>
      <c r="C133" s="9">
        <v>2</v>
      </c>
      <c r="D133" s="10" t="s">
        <v>44</v>
      </c>
      <c r="E133" s="11" t="s">
        <v>139</v>
      </c>
      <c r="F133" s="12">
        <v>23</v>
      </c>
      <c r="G133" s="10" t="s">
        <v>83</v>
      </c>
      <c r="H133" s="13"/>
      <c r="I133" s="13"/>
      <c r="J133" s="10"/>
    </row>
    <row r="134" spans="1:10" ht="28.5" x14ac:dyDescent="0.2">
      <c r="A134" s="2" t="s">
        <v>98</v>
      </c>
      <c r="B134" s="9">
        <v>1</v>
      </c>
      <c r="C134" s="9">
        <v>2</v>
      </c>
      <c r="D134" s="10" t="s">
        <v>46</v>
      </c>
      <c r="E134" s="11" t="s">
        <v>140</v>
      </c>
      <c r="F134" s="12">
        <v>6</v>
      </c>
      <c r="G134" s="10" t="s">
        <v>79</v>
      </c>
      <c r="H134" s="13"/>
      <c r="I134" s="13"/>
      <c r="J134" s="10"/>
    </row>
    <row r="135" spans="1:10" ht="28.5" x14ac:dyDescent="0.2">
      <c r="A135" s="2" t="s">
        <v>98</v>
      </c>
      <c r="B135" s="9">
        <v>1</v>
      </c>
      <c r="C135" s="9">
        <v>2</v>
      </c>
      <c r="D135" s="10" t="s">
        <v>47</v>
      </c>
      <c r="E135" s="11" t="s">
        <v>141</v>
      </c>
      <c r="F135" s="12">
        <v>7.0000000000000009</v>
      </c>
      <c r="G135" s="10" t="s">
        <v>79</v>
      </c>
      <c r="H135" s="13"/>
      <c r="I135" s="13"/>
      <c r="J135" s="10"/>
    </row>
    <row r="136" spans="1:10" ht="42.75" x14ac:dyDescent="0.2">
      <c r="A136" s="2" t="s">
        <v>98</v>
      </c>
      <c r="B136" s="9">
        <v>1</v>
      </c>
      <c r="C136" s="9">
        <v>2</v>
      </c>
      <c r="D136" s="10" t="s">
        <v>48</v>
      </c>
      <c r="E136" s="11" t="s">
        <v>142</v>
      </c>
      <c r="F136" s="12">
        <v>4</v>
      </c>
      <c r="G136" s="10" t="s">
        <v>79</v>
      </c>
      <c r="H136" s="13"/>
      <c r="I136" s="13"/>
      <c r="J136" s="10"/>
    </row>
    <row r="137" spans="1:10" x14ac:dyDescent="0.2">
      <c r="A137" s="2" t="s">
        <v>98</v>
      </c>
      <c r="B137" s="9">
        <v>1</v>
      </c>
      <c r="C137" s="9">
        <v>2</v>
      </c>
      <c r="D137" s="10" t="s">
        <v>50</v>
      </c>
      <c r="E137" s="11" t="s">
        <v>143</v>
      </c>
      <c r="F137" s="12">
        <v>1</v>
      </c>
      <c r="G137" s="10" t="s">
        <v>79</v>
      </c>
      <c r="H137" s="13"/>
      <c r="I137" s="13"/>
      <c r="J137" s="10"/>
    </row>
    <row r="138" spans="1:10" x14ac:dyDescent="0.2">
      <c r="A138" s="1" t="s">
        <v>144</v>
      </c>
      <c r="B138" s="1"/>
      <c r="C138" s="1"/>
      <c r="D138" s="1"/>
      <c r="E138" s="1"/>
      <c r="F138" s="1"/>
      <c r="G138" s="1"/>
      <c r="H138" s="1" t="s">
        <v>67</v>
      </c>
      <c r="I138" s="13">
        <f>I115+I116+I118+I120+I121+I122+I123+I124+I125+I126+I127+I128+I130+I131+I132+I133+I134+I135+I136+I137</f>
        <v>0</v>
      </c>
      <c r="J138" s="1"/>
    </row>
    <row r="141" spans="1:10" ht="15" x14ac:dyDescent="0.25">
      <c r="A141" s="21" t="s">
        <v>145</v>
      </c>
      <c r="B141" s="22"/>
      <c r="C141" s="22"/>
      <c r="D141" s="22"/>
      <c r="E141" s="22"/>
      <c r="F141" s="22"/>
      <c r="G141" s="22"/>
      <c r="H141" s="22"/>
      <c r="I141" s="22"/>
      <c r="J141" s="22"/>
    </row>
    <row r="142" spans="1:10" ht="15" x14ac:dyDescent="0.25">
      <c r="A142" s="21" t="s">
        <v>97</v>
      </c>
      <c r="B142" s="22"/>
      <c r="C142" s="22"/>
      <c r="D142" s="22"/>
      <c r="E142" s="22"/>
      <c r="F142" s="22"/>
      <c r="G142" s="22"/>
      <c r="H142" s="22"/>
      <c r="I142" s="22"/>
      <c r="J142" s="22"/>
    </row>
    <row r="144" spans="1:10" ht="15" x14ac:dyDescent="0.25">
      <c r="A144" s="3" t="s">
        <v>2</v>
      </c>
      <c r="B144" s="3" t="s">
        <v>3</v>
      </c>
      <c r="C144" s="3" t="s">
        <v>4</v>
      </c>
      <c r="D144" s="3" t="s">
        <v>5</v>
      </c>
      <c r="E144" s="3" t="s">
        <v>6</v>
      </c>
      <c r="F144" s="7" t="s">
        <v>7</v>
      </c>
      <c r="G144" s="3" t="s">
        <v>8</v>
      </c>
      <c r="H144" s="7" t="s">
        <v>9</v>
      </c>
      <c r="I144" s="7" t="s">
        <v>10</v>
      </c>
      <c r="J144" s="3" t="s">
        <v>11</v>
      </c>
    </row>
    <row r="145" spans="1:10" ht="74.25" x14ac:dyDescent="0.2">
      <c r="A145" s="2" t="s">
        <v>98</v>
      </c>
      <c r="B145" s="9">
        <v>1</v>
      </c>
      <c r="C145" s="9">
        <v>3</v>
      </c>
      <c r="D145" s="10" t="s">
        <v>13</v>
      </c>
      <c r="E145" s="11" t="s">
        <v>146</v>
      </c>
      <c r="F145" s="12">
        <v>85</v>
      </c>
      <c r="G145" s="10" t="s">
        <v>79</v>
      </c>
      <c r="H145" s="13"/>
      <c r="I145" s="13"/>
      <c r="J145" s="10"/>
    </row>
    <row r="146" spans="1:10" x14ac:dyDescent="0.2">
      <c r="A146" s="2" t="s">
        <v>98</v>
      </c>
      <c r="B146" s="9">
        <v>1</v>
      </c>
      <c r="C146" s="9">
        <v>3</v>
      </c>
      <c r="D146" s="10" t="s">
        <v>16</v>
      </c>
      <c r="E146" s="11" t="s">
        <v>147</v>
      </c>
      <c r="F146" s="12">
        <v>146</v>
      </c>
      <c r="G146" s="10" t="s">
        <v>79</v>
      </c>
      <c r="H146" s="13"/>
      <c r="I146" s="13"/>
      <c r="J146" s="10"/>
    </row>
    <row r="147" spans="1:10" x14ac:dyDescent="0.2">
      <c r="A147" s="2" t="s">
        <v>98</v>
      </c>
      <c r="B147" s="9">
        <v>1</v>
      </c>
      <c r="C147" s="9">
        <v>3</v>
      </c>
      <c r="D147" s="10" t="s">
        <v>18</v>
      </c>
      <c r="E147" s="11" t="s">
        <v>148</v>
      </c>
      <c r="F147" s="12">
        <v>11</v>
      </c>
      <c r="G147" s="10" t="s">
        <v>79</v>
      </c>
      <c r="H147" s="13"/>
      <c r="I147" s="13"/>
      <c r="J147" s="10"/>
    </row>
    <row r="148" spans="1:10" x14ac:dyDescent="0.2">
      <c r="A148" s="2" t="s">
        <v>98</v>
      </c>
      <c r="B148" s="9">
        <v>1</v>
      </c>
      <c r="C148" s="9">
        <v>3</v>
      </c>
      <c r="D148" s="10" t="s">
        <v>20</v>
      </c>
      <c r="E148" s="11" t="s">
        <v>149</v>
      </c>
      <c r="F148" s="12">
        <v>3</v>
      </c>
      <c r="G148" s="10" t="s">
        <v>79</v>
      </c>
      <c r="H148" s="13"/>
      <c r="I148" s="13"/>
      <c r="J148" s="10"/>
    </row>
    <row r="149" spans="1:10" ht="59.25" x14ac:dyDescent="0.2">
      <c r="A149" s="2" t="s">
        <v>98</v>
      </c>
      <c r="B149" s="9">
        <v>1</v>
      </c>
      <c r="C149" s="9">
        <v>3</v>
      </c>
      <c r="D149" s="10" t="s">
        <v>22</v>
      </c>
      <c r="E149" s="11" t="s">
        <v>150</v>
      </c>
      <c r="F149" s="12">
        <v>244</v>
      </c>
      <c r="G149" s="10" t="s">
        <v>79</v>
      </c>
      <c r="H149" s="13"/>
      <c r="I149" s="13"/>
      <c r="J149" s="10"/>
    </row>
    <row r="150" spans="1:10" x14ac:dyDescent="0.2">
      <c r="A150" s="2" t="s">
        <v>98</v>
      </c>
      <c r="B150" s="9">
        <v>1</v>
      </c>
      <c r="C150" s="9">
        <v>3</v>
      </c>
      <c r="D150" s="10" t="s">
        <v>24</v>
      </c>
      <c r="E150" s="11" t="s">
        <v>151</v>
      </c>
      <c r="F150" s="12">
        <v>3</v>
      </c>
      <c r="G150" s="10" t="s">
        <v>79</v>
      </c>
      <c r="H150" s="13"/>
      <c r="I150" s="13"/>
      <c r="J150" s="10"/>
    </row>
    <row r="151" spans="1:10" ht="44.25" x14ac:dyDescent="0.2">
      <c r="A151" s="2" t="s">
        <v>98</v>
      </c>
      <c r="B151" s="9">
        <v>1</v>
      </c>
      <c r="C151" s="9">
        <v>3</v>
      </c>
      <c r="D151" s="10" t="s">
        <v>27</v>
      </c>
      <c r="E151" s="11" t="s">
        <v>152</v>
      </c>
      <c r="F151" s="12">
        <v>9</v>
      </c>
      <c r="G151" s="10" t="s">
        <v>83</v>
      </c>
      <c r="H151" s="13"/>
      <c r="I151" s="13"/>
      <c r="J151" s="10"/>
    </row>
    <row r="152" spans="1:10" x14ac:dyDescent="0.2">
      <c r="A152" s="2" t="s">
        <v>98</v>
      </c>
      <c r="B152" s="9">
        <v>1</v>
      </c>
      <c r="C152" s="9">
        <v>3</v>
      </c>
      <c r="D152" s="10" t="s">
        <v>29</v>
      </c>
      <c r="E152" s="11" t="s">
        <v>153</v>
      </c>
      <c r="F152" s="12">
        <v>418</v>
      </c>
      <c r="G152" s="10" t="s">
        <v>83</v>
      </c>
      <c r="H152" s="13"/>
      <c r="I152" s="13"/>
      <c r="J152" s="10"/>
    </row>
    <row r="153" spans="1:10" x14ac:dyDescent="0.2">
      <c r="A153" s="2" t="s">
        <v>98</v>
      </c>
      <c r="B153" s="9">
        <v>1</v>
      </c>
      <c r="C153" s="9">
        <v>3</v>
      </c>
      <c r="D153" s="10" t="s">
        <v>32</v>
      </c>
      <c r="E153" s="11" t="s">
        <v>154</v>
      </c>
      <c r="F153" s="12">
        <v>75</v>
      </c>
      <c r="G153" s="10" t="s">
        <v>83</v>
      </c>
      <c r="H153" s="13"/>
      <c r="I153" s="13"/>
      <c r="J153" s="10"/>
    </row>
    <row r="154" spans="1:10" x14ac:dyDescent="0.2">
      <c r="A154" s="2" t="s">
        <v>98</v>
      </c>
      <c r="B154" s="9">
        <v>1</v>
      </c>
      <c r="C154" s="9">
        <v>3</v>
      </c>
      <c r="D154" s="10" t="s">
        <v>33</v>
      </c>
      <c r="E154" s="11" t="s">
        <v>155</v>
      </c>
      <c r="F154" s="12">
        <v>305</v>
      </c>
      <c r="G154" s="10" t="s">
        <v>109</v>
      </c>
      <c r="H154" s="13"/>
      <c r="I154" s="13"/>
      <c r="J154" s="10"/>
    </row>
    <row r="155" spans="1:10" x14ac:dyDescent="0.2">
      <c r="A155" s="2" t="s">
        <v>98</v>
      </c>
      <c r="B155" s="9">
        <v>1</v>
      </c>
      <c r="C155" s="9">
        <v>3</v>
      </c>
      <c r="D155" s="10" t="s">
        <v>34</v>
      </c>
      <c r="E155" s="11" t="s">
        <v>156</v>
      </c>
      <c r="F155" s="12">
        <v>17</v>
      </c>
      <c r="G155" s="10" t="s">
        <v>83</v>
      </c>
      <c r="H155" s="13"/>
      <c r="I155" s="13"/>
      <c r="J155" s="10"/>
    </row>
    <row r="156" spans="1:10" x14ac:dyDescent="0.2">
      <c r="A156" s="2" t="s">
        <v>98</v>
      </c>
      <c r="B156" s="9">
        <v>1</v>
      </c>
      <c r="C156" s="9">
        <v>3</v>
      </c>
      <c r="D156" s="10" t="s">
        <v>35</v>
      </c>
      <c r="E156" s="11" t="s">
        <v>157</v>
      </c>
      <c r="F156" s="12">
        <v>13</v>
      </c>
      <c r="G156" s="10" t="s">
        <v>83</v>
      </c>
      <c r="H156" s="13"/>
      <c r="I156" s="13"/>
      <c r="J156" s="10"/>
    </row>
    <row r="157" spans="1:10" x14ac:dyDescent="0.2">
      <c r="A157" s="2" t="s">
        <v>98</v>
      </c>
      <c r="B157" s="9">
        <v>1</v>
      </c>
      <c r="C157" s="9">
        <v>3</v>
      </c>
      <c r="D157" s="10" t="s">
        <v>36</v>
      </c>
      <c r="E157" s="11" t="s">
        <v>158</v>
      </c>
      <c r="F157" s="12">
        <v>27</v>
      </c>
      <c r="G157" s="10" t="s">
        <v>83</v>
      </c>
      <c r="H157" s="13"/>
      <c r="I157" s="13"/>
      <c r="J157" s="10"/>
    </row>
    <row r="158" spans="1:10" ht="28.5" x14ac:dyDescent="0.2">
      <c r="A158" s="2" t="s">
        <v>98</v>
      </c>
      <c r="B158" s="9">
        <v>1</v>
      </c>
      <c r="C158" s="9">
        <v>3</v>
      </c>
      <c r="D158" s="10" t="s">
        <v>40</v>
      </c>
      <c r="E158" s="11" t="s">
        <v>159</v>
      </c>
      <c r="F158" s="12">
        <v>241</v>
      </c>
      <c r="G158" s="10" t="s">
        <v>83</v>
      </c>
      <c r="H158" s="13"/>
      <c r="I158" s="13"/>
      <c r="J158" s="10"/>
    </row>
    <row r="159" spans="1:10" x14ac:dyDescent="0.2">
      <c r="A159" s="2" t="s">
        <v>98</v>
      </c>
      <c r="B159" s="9">
        <v>1</v>
      </c>
      <c r="C159" s="9">
        <v>3</v>
      </c>
      <c r="D159" s="10" t="s">
        <v>42</v>
      </c>
      <c r="E159" s="11" t="s">
        <v>160</v>
      </c>
      <c r="F159" s="12">
        <v>253.00000000000003</v>
      </c>
      <c r="G159" s="10" t="s">
        <v>83</v>
      </c>
      <c r="H159" s="13"/>
      <c r="I159" s="13"/>
      <c r="J159" s="10"/>
    </row>
    <row r="160" spans="1:10" ht="28.5" x14ac:dyDescent="0.2">
      <c r="A160" s="2" t="s">
        <v>98</v>
      </c>
      <c r="B160" s="9">
        <v>1</v>
      </c>
      <c r="C160" s="9">
        <v>3</v>
      </c>
      <c r="D160" s="10" t="s">
        <v>44</v>
      </c>
      <c r="E160" s="11" t="s">
        <v>161</v>
      </c>
      <c r="F160" s="12">
        <v>9</v>
      </c>
      <c r="G160" s="10" t="s">
        <v>124</v>
      </c>
      <c r="H160" s="13"/>
      <c r="I160" s="13"/>
      <c r="J160" s="10"/>
    </row>
    <row r="161" spans="1:10" x14ac:dyDescent="0.2">
      <c r="A161" s="2" t="s">
        <v>98</v>
      </c>
      <c r="B161" s="9">
        <v>1</v>
      </c>
      <c r="C161" s="9">
        <v>3</v>
      </c>
      <c r="D161" s="10" t="s">
        <v>46</v>
      </c>
      <c r="E161" s="11" t="s">
        <v>162</v>
      </c>
      <c r="F161" s="12">
        <v>47</v>
      </c>
      <c r="G161" s="10" t="s">
        <v>83</v>
      </c>
      <c r="H161" s="13"/>
      <c r="I161" s="13"/>
      <c r="J161" s="10"/>
    </row>
    <row r="162" spans="1:10" ht="28.5" x14ac:dyDescent="0.2">
      <c r="A162" s="2" t="s">
        <v>98</v>
      </c>
      <c r="B162" s="9">
        <v>1</v>
      </c>
      <c r="C162" s="9">
        <v>3</v>
      </c>
      <c r="D162" s="10" t="s">
        <v>47</v>
      </c>
      <c r="E162" s="11" t="s">
        <v>163</v>
      </c>
      <c r="F162" s="12">
        <v>28.999999999999996</v>
      </c>
      <c r="G162" s="10" t="s">
        <v>109</v>
      </c>
      <c r="H162" s="13"/>
      <c r="I162" s="13"/>
      <c r="J162" s="10"/>
    </row>
    <row r="163" spans="1:10" ht="28.5" x14ac:dyDescent="0.2">
      <c r="A163" s="2" t="s">
        <v>98</v>
      </c>
      <c r="B163" s="9">
        <v>1</v>
      </c>
      <c r="C163" s="9">
        <v>3</v>
      </c>
      <c r="D163" s="10" t="s">
        <v>48</v>
      </c>
      <c r="E163" s="11" t="s">
        <v>164</v>
      </c>
      <c r="F163" s="12">
        <v>1</v>
      </c>
      <c r="G163" s="10" t="s">
        <v>124</v>
      </c>
      <c r="H163" s="13"/>
      <c r="I163" s="13"/>
      <c r="J163" s="10"/>
    </row>
    <row r="164" spans="1:10" ht="28.5" x14ac:dyDescent="0.2">
      <c r="A164" s="2" t="s">
        <v>98</v>
      </c>
      <c r="B164" s="9">
        <v>1</v>
      </c>
      <c r="C164" s="9">
        <v>3</v>
      </c>
      <c r="D164" s="10" t="s">
        <v>50</v>
      </c>
      <c r="E164" s="11" t="s">
        <v>165</v>
      </c>
      <c r="F164" s="12">
        <v>2</v>
      </c>
      <c r="G164" s="10" t="s">
        <v>124</v>
      </c>
      <c r="H164" s="13"/>
      <c r="I164" s="13"/>
      <c r="J164" s="10"/>
    </row>
    <row r="165" spans="1:10" x14ac:dyDescent="0.2">
      <c r="A165" s="1" t="s">
        <v>166</v>
      </c>
      <c r="B165" s="1"/>
      <c r="C165" s="1"/>
      <c r="D165" s="1"/>
      <c r="E165" s="1"/>
      <c r="F165" s="1"/>
      <c r="G165" s="1"/>
      <c r="H165" s="1" t="s">
        <v>67</v>
      </c>
      <c r="I165" s="13">
        <f>I145+I146+I147+I148+I149+I150+I151+I152+I153+I154+I155+I156+I157+I158+I159+I160+I161+I162+I163+I164</f>
        <v>0</v>
      </c>
      <c r="J165" s="1"/>
    </row>
    <row r="168" spans="1:10" ht="15" x14ac:dyDescent="0.25">
      <c r="A168" s="21" t="s">
        <v>167</v>
      </c>
      <c r="B168" s="22"/>
      <c r="C168" s="22"/>
      <c r="D168" s="22"/>
      <c r="E168" s="22"/>
      <c r="F168" s="22"/>
      <c r="G168" s="22"/>
      <c r="H168" s="22"/>
      <c r="I168" s="22"/>
      <c r="J168" s="22"/>
    </row>
    <row r="169" spans="1:10" ht="15" x14ac:dyDescent="0.25">
      <c r="A169" s="21" t="s">
        <v>97</v>
      </c>
      <c r="B169" s="22"/>
      <c r="C169" s="22"/>
      <c r="D169" s="22"/>
      <c r="E169" s="22"/>
      <c r="F169" s="22"/>
      <c r="G169" s="22"/>
      <c r="H169" s="22"/>
      <c r="I169" s="22"/>
      <c r="J169" s="22"/>
    </row>
    <row r="171" spans="1:10" ht="15" x14ac:dyDescent="0.25">
      <c r="A171" s="3" t="s">
        <v>2</v>
      </c>
      <c r="B171" s="3" t="s">
        <v>3</v>
      </c>
      <c r="C171" s="3" t="s">
        <v>4</v>
      </c>
      <c r="D171" s="3" t="s">
        <v>5</v>
      </c>
      <c r="E171" s="3" t="s">
        <v>6</v>
      </c>
      <c r="F171" s="7" t="s">
        <v>7</v>
      </c>
      <c r="G171" s="3" t="s">
        <v>8</v>
      </c>
      <c r="H171" s="7" t="s">
        <v>9</v>
      </c>
      <c r="I171" s="7" t="s">
        <v>10</v>
      </c>
      <c r="J171" s="3" t="s">
        <v>11</v>
      </c>
    </row>
    <row r="172" spans="1:10" ht="73.5" x14ac:dyDescent="0.2">
      <c r="A172" s="2" t="s">
        <v>98</v>
      </c>
      <c r="B172" s="9">
        <v>1</v>
      </c>
      <c r="C172" s="9">
        <v>4</v>
      </c>
      <c r="D172" s="10" t="s">
        <v>13</v>
      </c>
      <c r="E172" s="11" t="s">
        <v>168</v>
      </c>
      <c r="F172" s="12">
        <v>9.4499999999999993</v>
      </c>
      <c r="G172" s="10" t="s">
        <v>169</v>
      </c>
      <c r="H172" s="13"/>
      <c r="I172" s="13"/>
      <c r="J172" s="10"/>
    </row>
    <row r="173" spans="1:10" x14ac:dyDescent="0.2">
      <c r="A173" s="2" t="s">
        <v>98</v>
      </c>
      <c r="B173" s="9">
        <v>1</v>
      </c>
      <c r="C173" s="9">
        <v>4</v>
      </c>
      <c r="D173" s="10" t="s">
        <v>16</v>
      </c>
      <c r="E173" s="11" t="s">
        <v>170</v>
      </c>
      <c r="F173" s="12">
        <v>13.849999999999998</v>
      </c>
      <c r="G173" s="10" t="s">
        <v>169</v>
      </c>
      <c r="H173" s="13"/>
      <c r="I173" s="13"/>
      <c r="J173" s="10"/>
    </row>
    <row r="174" spans="1:10" ht="28.5" x14ac:dyDescent="0.2">
      <c r="A174" s="2" t="s">
        <v>98</v>
      </c>
      <c r="B174" s="9">
        <v>1</v>
      </c>
      <c r="C174" s="9">
        <v>4</v>
      </c>
      <c r="D174" s="10" t="s">
        <v>18</v>
      </c>
      <c r="E174" s="11" t="s">
        <v>171</v>
      </c>
      <c r="F174" s="12">
        <v>1.1499999999999999</v>
      </c>
      <c r="G174" s="10" t="s">
        <v>169</v>
      </c>
      <c r="H174" s="13"/>
      <c r="I174" s="13"/>
      <c r="J174" s="10"/>
    </row>
    <row r="175" spans="1:10" x14ac:dyDescent="0.2">
      <c r="A175" s="2" t="s">
        <v>98</v>
      </c>
      <c r="B175" s="9">
        <v>1</v>
      </c>
      <c r="C175" s="9">
        <v>4</v>
      </c>
      <c r="D175" s="10" t="s">
        <v>20</v>
      </c>
      <c r="E175" s="11" t="s">
        <v>172</v>
      </c>
      <c r="F175" s="12">
        <v>0.26</v>
      </c>
      <c r="G175" s="10" t="s">
        <v>169</v>
      </c>
      <c r="H175" s="13"/>
      <c r="I175" s="13"/>
      <c r="J175" s="10"/>
    </row>
    <row r="176" spans="1:10" ht="42.75" x14ac:dyDescent="0.2">
      <c r="A176" s="2" t="s">
        <v>98</v>
      </c>
      <c r="B176" s="9">
        <v>1</v>
      </c>
      <c r="C176" s="9">
        <v>4</v>
      </c>
      <c r="D176" s="10" t="s">
        <v>22</v>
      </c>
      <c r="E176" s="11" t="s">
        <v>173</v>
      </c>
      <c r="F176" s="12">
        <v>20.9</v>
      </c>
      <c r="G176" s="10" t="s">
        <v>169</v>
      </c>
      <c r="H176" s="13"/>
      <c r="I176" s="13"/>
      <c r="J176" s="10"/>
    </row>
    <row r="177" spans="1:10" ht="28.5" x14ac:dyDescent="0.2">
      <c r="A177" s="2" t="s">
        <v>98</v>
      </c>
      <c r="B177" s="9">
        <v>1</v>
      </c>
      <c r="C177" s="9">
        <v>4</v>
      </c>
      <c r="D177" s="10" t="s">
        <v>24</v>
      </c>
      <c r="E177" s="11" t="s">
        <v>174</v>
      </c>
      <c r="F177" s="12">
        <v>641.99999999999989</v>
      </c>
      <c r="G177" s="10" t="s">
        <v>124</v>
      </c>
      <c r="H177" s="13"/>
      <c r="I177" s="13"/>
      <c r="J177" s="10"/>
    </row>
    <row r="178" spans="1:10" ht="87" x14ac:dyDescent="0.2">
      <c r="A178" s="2" t="s">
        <v>98</v>
      </c>
      <c r="B178" s="9">
        <v>1</v>
      </c>
      <c r="C178" s="9">
        <v>4</v>
      </c>
      <c r="D178" s="10" t="s">
        <v>27</v>
      </c>
      <c r="E178" s="11" t="s">
        <v>175</v>
      </c>
      <c r="F178" s="12">
        <v>0</v>
      </c>
      <c r="G178" s="10"/>
      <c r="H178" s="13"/>
      <c r="I178" s="6"/>
      <c r="J178" s="10"/>
    </row>
    <row r="179" spans="1:10" x14ac:dyDescent="0.2">
      <c r="A179" s="2" t="s">
        <v>98</v>
      </c>
      <c r="B179" s="9">
        <v>1</v>
      </c>
      <c r="C179" s="9">
        <v>4</v>
      </c>
      <c r="D179" s="10" t="s">
        <v>29</v>
      </c>
      <c r="E179" s="11" t="s">
        <v>176</v>
      </c>
      <c r="F179" s="12">
        <v>150</v>
      </c>
      <c r="G179" s="10" t="s">
        <v>109</v>
      </c>
      <c r="H179" s="13"/>
      <c r="I179" s="13"/>
      <c r="J179" s="10"/>
    </row>
    <row r="180" spans="1:10" x14ac:dyDescent="0.2">
      <c r="A180" s="2" t="s">
        <v>98</v>
      </c>
      <c r="B180" s="9">
        <v>1</v>
      </c>
      <c r="C180" s="9">
        <v>4</v>
      </c>
      <c r="D180" s="10" t="s">
        <v>32</v>
      </c>
      <c r="E180" s="11" t="s">
        <v>177</v>
      </c>
      <c r="F180" s="12">
        <v>278</v>
      </c>
      <c r="G180" s="10" t="s">
        <v>109</v>
      </c>
      <c r="H180" s="13"/>
      <c r="I180" s="13"/>
      <c r="J180" s="10"/>
    </row>
    <row r="181" spans="1:10" x14ac:dyDescent="0.2">
      <c r="A181" s="2" t="s">
        <v>98</v>
      </c>
      <c r="B181" s="9">
        <v>1</v>
      </c>
      <c r="C181" s="9">
        <v>4</v>
      </c>
      <c r="D181" s="10" t="s">
        <v>33</v>
      </c>
      <c r="E181" s="11" t="s">
        <v>178</v>
      </c>
      <c r="F181" s="12">
        <v>125</v>
      </c>
      <c r="G181" s="10" t="s">
        <v>83</v>
      </c>
      <c r="H181" s="13"/>
      <c r="I181" s="13"/>
      <c r="J181" s="10"/>
    </row>
    <row r="182" spans="1:10" x14ac:dyDescent="0.2">
      <c r="A182" s="2" t="s">
        <v>98</v>
      </c>
      <c r="B182" s="9">
        <v>1</v>
      </c>
      <c r="C182" s="9">
        <v>4</v>
      </c>
      <c r="D182" s="10" t="s">
        <v>34</v>
      </c>
      <c r="E182" s="11" t="s">
        <v>179</v>
      </c>
      <c r="F182" s="12">
        <v>250</v>
      </c>
      <c r="G182" s="10" t="s">
        <v>83</v>
      </c>
      <c r="H182" s="13"/>
      <c r="I182" s="13"/>
      <c r="J182" s="10"/>
    </row>
    <row r="183" spans="1:10" x14ac:dyDescent="0.2">
      <c r="A183" s="2" t="s">
        <v>98</v>
      </c>
      <c r="B183" s="9">
        <v>1</v>
      </c>
      <c r="C183" s="9">
        <v>4</v>
      </c>
      <c r="D183" s="10" t="s">
        <v>35</v>
      </c>
      <c r="E183" s="11" t="s">
        <v>180</v>
      </c>
      <c r="F183" s="12">
        <v>874</v>
      </c>
      <c r="G183" s="10" t="s">
        <v>109</v>
      </c>
      <c r="H183" s="13"/>
      <c r="I183" s="13"/>
      <c r="J183" s="10"/>
    </row>
    <row r="184" spans="1:10" ht="57" x14ac:dyDescent="0.2">
      <c r="A184" s="2" t="s">
        <v>98</v>
      </c>
      <c r="B184" s="9">
        <v>1</v>
      </c>
      <c r="C184" s="9">
        <v>4</v>
      </c>
      <c r="D184" s="10" t="s">
        <v>36</v>
      </c>
      <c r="E184" s="11" t="s">
        <v>181</v>
      </c>
      <c r="F184" s="12">
        <v>874</v>
      </c>
      <c r="G184" s="10" t="s">
        <v>109</v>
      </c>
      <c r="H184" s="13"/>
      <c r="I184" s="13"/>
      <c r="J184" s="10"/>
    </row>
    <row r="185" spans="1:10" x14ac:dyDescent="0.2">
      <c r="A185" s="1" t="s">
        <v>182</v>
      </c>
      <c r="B185" s="1"/>
      <c r="C185" s="1"/>
      <c r="D185" s="1"/>
      <c r="E185" s="1"/>
      <c r="F185" s="1"/>
      <c r="G185" s="1"/>
      <c r="H185" s="1" t="s">
        <v>67</v>
      </c>
      <c r="I185" s="13">
        <f>I172+I173+I174+I175+I176+I177+I179+I180+I181+I182+I183+I184</f>
        <v>0</v>
      </c>
      <c r="J185" s="1"/>
    </row>
    <row r="188" spans="1:10" ht="15" x14ac:dyDescent="0.25">
      <c r="A188" s="21" t="s">
        <v>183</v>
      </c>
      <c r="B188" s="22"/>
      <c r="C188" s="22"/>
      <c r="D188" s="22"/>
      <c r="E188" s="22"/>
      <c r="F188" s="22"/>
      <c r="G188" s="22"/>
      <c r="H188" s="22"/>
      <c r="I188" s="22"/>
      <c r="J188" s="22"/>
    </row>
    <row r="189" spans="1:10" ht="15" x14ac:dyDescent="0.25">
      <c r="A189" s="21" t="s">
        <v>97</v>
      </c>
      <c r="B189" s="22"/>
      <c r="C189" s="22"/>
      <c r="D189" s="22"/>
      <c r="E189" s="22"/>
      <c r="F189" s="22"/>
      <c r="G189" s="22"/>
      <c r="H189" s="22"/>
      <c r="I189" s="22"/>
      <c r="J189" s="22"/>
    </row>
    <row r="191" spans="1:10" ht="15" x14ac:dyDescent="0.25">
      <c r="A191" s="3" t="s">
        <v>2</v>
      </c>
      <c r="B191" s="3" t="s">
        <v>3</v>
      </c>
      <c r="C191" s="3" t="s">
        <v>4</v>
      </c>
      <c r="D191" s="3" t="s">
        <v>5</v>
      </c>
      <c r="E191" s="3" t="s">
        <v>6</v>
      </c>
      <c r="F191" s="7" t="s">
        <v>7</v>
      </c>
      <c r="G191" s="3" t="s">
        <v>8</v>
      </c>
      <c r="H191" s="7" t="s">
        <v>9</v>
      </c>
      <c r="I191" s="7" t="s">
        <v>10</v>
      </c>
      <c r="J191" s="3" t="s">
        <v>11</v>
      </c>
    </row>
    <row r="192" spans="1:10" ht="44.25" x14ac:dyDescent="0.2">
      <c r="A192" s="2" t="s">
        <v>98</v>
      </c>
      <c r="B192" s="9">
        <v>1</v>
      </c>
      <c r="C192" s="9">
        <v>5</v>
      </c>
      <c r="D192" s="10" t="s">
        <v>13</v>
      </c>
      <c r="E192" s="11" t="s">
        <v>184</v>
      </c>
      <c r="F192" s="12">
        <v>187.99999999999997</v>
      </c>
      <c r="G192" s="10" t="s">
        <v>124</v>
      </c>
      <c r="H192" s="13"/>
      <c r="I192" s="13"/>
      <c r="J192" s="10"/>
    </row>
    <row r="193" spans="1:10" x14ac:dyDescent="0.2">
      <c r="A193" s="2" t="s">
        <v>98</v>
      </c>
      <c r="B193" s="9">
        <v>1</v>
      </c>
      <c r="C193" s="9">
        <v>5</v>
      </c>
      <c r="D193" s="10" t="s">
        <v>16</v>
      </c>
      <c r="E193" s="11" t="s">
        <v>185</v>
      </c>
      <c r="F193" s="12">
        <v>47</v>
      </c>
      <c r="G193" s="10" t="s">
        <v>124</v>
      </c>
      <c r="H193" s="13"/>
      <c r="I193" s="13"/>
      <c r="J193" s="10"/>
    </row>
    <row r="194" spans="1:10" x14ac:dyDescent="0.2">
      <c r="A194" s="2" t="s">
        <v>98</v>
      </c>
      <c r="B194" s="9">
        <v>1</v>
      </c>
      <c r="C194" s="9">
        <v>5</v>
      </c>
      <c r="D194" s="10" t="s">
        <v>18</v>
      </c>
      <c r="E194" s="11" t="s">
        <v>186</v>
      </c>
      <c r="F194" s="12">
        <v>47</v>
      </c>
      <c r="G194" s="10" t="s">
        <v>124</v>
      </c>
      <c r="H194" s="13"/>
      <c r="I194" s="13"/>
      <c r="J194" s="10"/>
    </row>
    <row r="195" spans="1:10" ht="42.75" x14ac:dyDescent="0.2">
      <c r="A195" s="2" t="s">
        <v>98</v>
      </c>
      <c r="B195" s="9">
        <v>1</v>
      </c>
      <c r="C195" s="9">
        <v>5</v>
      </c>
      <c r="D195" s="10" t="s">
        <v>20</v>
      </c>
      <c r="E195" s="11" t="s">
        <v>187</v>
      </c>
      <c r="F195" s="12">
        <v>192</v>
      </c>
      <c r="G195" s="10" t="s">
        <v>124</v>
      </c>
      <c r="H195" s="13"/>
      <c r="I195" s="13"/>
      <c r="J195" s="10"/>
    </row>
    <row r="196" spans="1:10" ht="28.5" x14ac:dyDescent="0.2">
      <c r="A196" s="2" t="s">
        <v>98</v>
      </c>
      <c r="B196" s="9">
        <v>1</v>
      </c>
      <c r="C196" s="9">
        <v>5</v>
      </c>
      <c r="D196" s="10" t="s">
        <v>22</v>
      </c>
      <c r="E196" s="11" t="s">
        <v>188</v>
      </c>
      <c r="F196" s="12">
        <v>2</v>
      </c>
      <c r="G196" s="10" t="s">
        <v>83</v>
      </c>
      <c r="H196" s="13"/>
      <c r="I196" s="13"/>
      <c r="J196" s="10"/>
    </row>
    <row r="197" spans="1:10" ht="42.75" x14ac:dyDescent="0.2">
      <c r="A197" s="2" t="s">
        <v>98</v>
      </c>
      <c r="B197" s="9">
        <v>1</v>
      </c>
      <c r="C197" s="9">
        <v>5</v>
      </c>
      <c r="D197" s="10" t="s">
        <v>24</v>
      </c>
      <c r="E197" s="11" t="s">
        <v>189</v>
      </c>
      <c r="F197" s="12">
        <v>9</v>
      </c>
      <c r="G197" s="10" t="s">
        <v>124</v>
      </c>
      <c r="H197" s="13"/>
      <c r="I197" s="13"/>
      <c r="J197" s="10"/>
    </row>
    <row r="198" spans="1:10" ht="28.5" x14ac:dyDescent="0.2">
      <c r="A198" s="2" t="s">
        <v>98</v>
      </c>
      <c r="B198" s="9">
        <v>1</v>
      </c>
      <c r="C198" s="9">
        <v>5</v>
      </c>
      <c r="D198" s="10" t="s">
        <v>27</v>
      </c>
      <c r="E198" s="11" t="s">
        <v>190</v>
      </c>
      <c r="F198" s="12">
        <v>125</v>
      </c>
      <c r="G198" s="10" t="s">
        <v>83</v>
      </c>
      <c r="H198" s="13"/>
      <c r="I198" s="13"/>
      <c r="J198" s="10"/>
    </row>
    <row r="199" spans="1:10" x14ac:dyDescent="0.2">
      <c r="A199" s="2" t="s">
        <v>98</v>
      </c>
      <c r="B199" s="9">
        <v>1</v>
      </c>
      <c r="C199" s="9">
        <v>5</v>
      </c>
      <c r="D199" s="10" t="s">
        <v>29</v>
      </c>
      <c r="E199" s="11" t="s">
        <v>191</v>
      </c>
      <c r="F199" s="12">
        <v>1</v>
      </c>
      <c r="G199" s="10" t="s">
        <v>124</v>
      </c>
      <c r="H199" s="13"/>
      <c r="I199" s="13"/>
      <c r="J199" s="10"/>
    </row>
    <row r="200" spans="1:10" ht="28.5" x14ac:dyDescent="0.2">
      <c r="A200" s="2" t="s">
        <v>98</v>
      </c>
      <c r="B200" s="9">
        <v>1</v>
      </c>
      <c r="C200" s="9">
        <v>5</v>
      </c>
      <c r="D200" s="10" t="s">
        <v>32</v>
      </c>
      <c r="E200" s="11" t="s">
        <v>192</v>
      </c>
      <c r="F200" s="12">
        <v>15</v>
      </c>
      <c r="G200" s="10" t="s">
        <v>124</v>
      </c>
      <c r="H200" s="13"/>
      <c r="I200" s="13"/>
      <c r="J200" s="10"/>
    </row>
    <row r="201" spans="1:10" ht="28.5" x14ac:dyDescent="0.2">
      <c r="A201" s="2" t="s">
        <v>98</v>
      </c>
      <c r="B201" s="9">
        <v>1</v>
      </c>
      <c r="C201" s="9">
        <v>5</v>
      </c>
      <c r="D201" s="10" t="s">
        <v>33</v>
      </c>
      <c r="E201" s="11" t="s">
        <v>193</v>
      </c>
      <c r="F201" s="12">
        <v>3</v>
      </c>
      <c r="G201" s="10" t="s">
        <v>124</v>
      </c>
      <c r="H201" s="13"/>
      <c r="I201" s="13"/>
      <c r="J201" s="10"/>
    </row>
    <row r="202" spans="1:10" ht="28.5" x14ac:dyDescent="0.2">
      <c r="A202" s="2" t="s">
        <v>98</v>
      </c>
      <c r="B202" s="9">
        <v>1</v>
      </c>
      <c r="C202" s="9">
        <v>5</v>
      </c>
      <c r="D202" s="10" t="s">
        <v>34</v>
      </c>
      <c r="E202" s="11" t="s">
        <v>194</v>
      </c>
      <c r="F202" s="12">
        <v>2</v>
      </c>
      <c r="G202" s="10" t="s">
        <v>124</v>
      </c>
      <c r="H202" s="13"/>
      <c r="I202" s="13"/>
      <c r="J202" s="10"/>
    </row>
    <row r="203" spans="1:10" ht="42.75" x14ac:dyDescent="0.2">
      <c r="A203" s="2" t="s">
        <v>98</v>
      </c>
      <c r="B203" s="9">
        <v>1</v>
      </c>
      <c r="C203" s="9">
        <v>5</v>
      </c>
      <c r="D203" s="10" t="s">
        <v>35</v>
      </c>
      <c r="E203" s="11" t="s">
        <v>195</v>
      </c>
      <c r="F203" s="12">
        <v>13</v>
      </c>
      <c r="G203" s="10" t="s">
        <v>124</v>
      </c>
      <c r="H203" s="13"/>
      <c r="I203" s="13"/>
      <c r="J203" s="10"/>
    </row>
    <row r="204" spans="1:10" x14ac:dyDescent="0.2">
      <c r="A204" s="1" t="s">
        <v>196</v>
      </c>
      <c r="B204" s="1"/>
      <c r="C204" s="1"/>
      <c r="D204" s="1"/>
      <c r="E204" s="1"/>
      <c r="F204" s="1"/>
      <c r="G204" s="1"/>
      <c r="H204" s="1" t="s">
        <v>67</v>
      </c>
      <c r="I204" s="13">
        <f>I192+I193+I194+I195+I196+I197+I198+I199+I200+I201+I202+I203</f>
        <v>0</v>
      </c>
      <c r="J204" s="1"/>
    </row>
    <row r="207" spans="1:10" ht="15" x14ac:dyDescent="0.25">
      <c r="A207" s="21" t="s">
        <v>197</v>
      </c>
      <c r="B207" s="22"/>
      <c r="C207" s="22"/>
      <c r="D207" s="22"/>
      <c r="E207" s="22"/>
      <c r="F207" s="22"/>
      <c r="G207" s="22"/>
      <c r="H207" s="22"/>
      <c r="I207" s="22"/>
      <c r="J207" s="22"/>
    </row>
    <row r="208" spans="1:10" ht="15" x14ac:dyDescent="0.25">
      <c r="A208" s="21" t="s">
        <v>97</v>
      </c>
      <c r="B208" s="22"/>
      <c r="C208" s="22"/>
      <c r="D208" s="22"/>
      <c r="E208" s="22"/>
      <c r="F208" s="22"/>
      <c r="G208" s="22"/>
      <c r="H208" s="22"/>
      <c r="I208" s="22"/>
      <c r="J208" s="22"/>
    </row>
    <row r="210" spans="1:10" ht="15" x14ac:dyDescent="0.25">
      <c r="A210" s="3" t="s">
        <v>2</v>
      </c>
      <c r="B210" s="3" t="s">
        <v>3</v>
      </c>
      <c r="C210" s="3" t="s">
        <v>4</v>
      </c>
      <c r="D210" s="3" t="s">
        <v>5</v>
      </c>
      <c r="E210" s="3" t="s">
        <v>6</v>
      </c>
      <c r="F210" s="7" t="s">
        <v>7</v>
      </c>
      <c r="G210" s="3" t="s">
        <v>8</v>
      </c>
      <c r="H210" s="7" t="s">
        <v>9</v>
      </c>
      <c r="I210" s="7" t="s">
        <v>10</v>
      </c>
      <c r="J210" s="3" t="s">
        <v>11</v>
      </c>
    </row>
    <row r="211" spans="1:10" ht="119.25" x14ac:dyDescent="0.2">
      <c r="A211" s="2" t="s">
        <v>98</v>
      </c>
      <c r="B211" s="9">
        <v>1</v>
      </c>
      <c r="C211" s="9">
        <v>6</v>
      </c>
      <c r="D211" s="10" t="s">
        <v>13</v>
      </c>
      <c r="E211" s="11" t="s">
        <v>198</v>
      </c>
      <c r="F211" s="12">
        <v>80</v>
      </c>
      <c r="G211" s="10" t="s">
        <v>109</v>
      </c>
      <c r="H211" s="13"/>
      <c r="I211" s="13"/>
      <c r="J211" s="10"/>
    </row>
    <row r="212" spans="1:10" ht="42.75" x14ac:dyDescent="0.2">
      <c r="A212" s="2" t="s">
        <v>98</v>
      </c>
      <c r="B212" s="9">
        <v>1</v>
      </c>
      <c r="C212" s="9">
        <v>6</v>
      </c>
      <c r="D212" s="10" t="s">
        <v>16</v>
      </c>
      <c r="E212" s="11" t="s">
        <v>199</v>
      </c>
      <c r="F212" s="12">
        <v>30</v>
      </c>
      <c r="G212" s="10" t="s">
        <v>109</v>
      </c>
      <c r="H212" s="13"/>
      <c r="I212" s="13"/>
      <c r="J212" s="10"/>
    </row>
    <row r="213" spans="1:10" ht="28.5" x14ac:dyDescent="0.2">
      <c r="A213" s="2" t="s">
        <v>98</v>
      </c>
      <c r="B213" s="9">
        <v>1</v>
      </c>
      <c r="C213" s="9">
        <v>6</v>
      </c>
      <c r="D213" s="10" t="s">
        <v>18</v>
      </c>
      <c r="E213" s="11" t="s">
        <v>200</v>
      </c>
      <c r="F213" s="12">
        <v>1</v>
      </c>
      <c r="G213" s="10" t="s">
        <v>83</v>
      </c>
      <c r="H213" s="13"/>
      <c r="I213" s="13"/>
      <c r="J213" s="10"/>
    </row>
    <row r="214" spans="1:10" ht="28.5" x14ac:dyDescent="0.2">
      <c r="A214" s="2" t="s">
        <v>98</v>
      </c>
      <c r="B214" s="9">
        <v>1</v>
      </c>
      <c r="C214" s="9">
        <v>6</v>
      </c>
      <c r="D214" s="10" t="s">
        <v>20</v>
      </c>
      <c r="E214" s="11" t="s">
        <v>201</v>
      </c>
      <c r="F214" s="12">
        <v>1</v>
      </c>
      <c r="G214" s="10" t="s">
        <v>83</v>
      </c>
      <c r="H214" s="13"/>
      <c r="I214" s="13"/>
      <c r="J214" s="10"/>
    </row>
    <row r="215" spans="1:10" ht="28.5" x14ac:dyDescent="0.2">
      <c r="A215" s="2" t="s">
        <v>98</v>
      </c>
      <c r="B215" s="9">
        <v>1</v>
      </c>
      <c r="C215" s="9">
        <v>6</v>
      </c>
      <c r="D215" s="10" t="s">
        <v>22</v>
      </c>
      <c r="E215" s="11" t="s">
        <v>202</v>
      </c>
      <c r="F215" s="12">
        <v>1</v>
      </c>
      <c r="G215" s="10" t="s">
        <v>83</v>
      </c>
      <c r="H215" s="13"/>
      <c r="I215" s="13"/>
      <c r="J215" s="10"/>
    </row>
    <row r="216" spans="1:10" ht="28.5" x14ac:dyDescent="0.2">
      <c r="A216" s="2" t="s">
        <v>98</v>
      </c>
      <c r="B216" s="9">
        <v>1</v>
      </c>
      <c r="C216" s="9">
        <v>6</v>
      </c>
      <c r="D216" s="10" t="s">
        <v>24</v>
      </c>
      <c r="E216" s="11" t="s">
        <v>202</v>
      </c>
      <c r="F216" s="12">
        <v>1</v>
      </c>
      <c r="G216" s="10" t="s">
        <v>83</v>
      </c>
      <c r="H216" s="13"/>
      <c r="I216" s="13"/>
      <c r="J216" s="10"/>
    </row>
    <row r="217" spans="1:10" x14ac:dyDescent="0.2">
      <c r="A217" s="2" t="s">
        <v>98</v>
      </c>
      <c r="B217" s="9">
        <v>1</v>
      </c>
      <c r="C217" s="9">
        <v>6</v>
      </c>
      <c r="D217" s="10" t="s">
        <v>27</v>
      </c>
      <c r="E217" s="11" t="s">
        <v>203</v>
      </c>
      <c r="F217" s="12">
        <v>14.000000000000002</v>
      </c>
      <c r="G217" s="10" t="s">
        <v>83</v>
      </c>
      <c r="H217" s="13"/>
      <c r="I217" s="13"/>
      <c r="J217" s="10"/>
    </row>
    <row r="218" spans="1:10" ht="42.75" x14ac:dyDescent="0.2">
      <c r="A218" s="2" t="s">
        <v>98</v>
      </c>
      <c r="B218" s="9">
        <v>1</v>
      </c>
      <c r="C218" s="9">
        <v>6</v>
      </c>
      <c r="D218" s="10" t="s">
        <v>29</v>
      </c>
      <c r="E218" s="11" t="s">
        <v>204</v>
      </c>
      <c r="F218" s="12">
        <v>5</v>
      </c>
      <c r="G218" s="10" t="s">
        <v>83</v>
      </c>
      <c r="H218" s="13"/>
      <c r="I218" s="13"/>
      <c r="J218" s="10"/>
    </row>
    <row r="219" spans="1:10" ht="72.75" x14ac:dyDescent="0.2">
      <c r="A219" s="2" t="s">
        <v>98</v>
      </c>
      <c r="B219" s="9">
        <v>1</v>
      </c>
      <c r="C219" s="9">
        <v>6</v>
      </c>
      <c r="D219" s="10" t="s">
        <v>32</v>
      </c>
      <c r="E219" s="11" t="s">
        <v>205</v>
      </c>
      <c r="F219" s="12">
        <v>53</v>
      </c>
      <c r="G219" s="10" t="s">
        <v>109</v>
      </c>
      <c r="H219" s="13"/>
      <c r="I219" s="13"/>
      <c r="J219" s="10"/>
    </row>
    <row r="220" spans="1:10" ht="74.25" x14ac:dyDescent="0.2">
      <c r="A220" s="2" t="s">
        <v>98</v>
      </c>
      <c r="B220" s="9">
        <v>1</v>
      </c>
      <c r="C220" s="9">
        <v>6</v>
      </c>
      <c r="D220" s="10" t="s">
        <v>33</v>
      </c>
      <c r="E220" s="11" t="s">
        <v>206</v>
      </c>
      <c r="F220" s="12">
        <v>61</v>
      </c>
      <c r="G220" s="10" t="s">
        <v>109</v>
      </c>
      <c r="H220" s="13"/>
      <c r="I220" s="13"/>
      <c r="J220" s="10"/>
    </row>
    <row r="221" spans="1:10" ht="74.25" x14ac:dyDescent="0.2">
      <c r="A221" s="2" t="s">
        <v>98</v>
      </c>
      <c r="B221" s="9">
        <v>1</v>
      </c>
      <c r="C221" s="9">
        <v>6</v>
      </c>
      <c r="D221" s="10" t="s">
        <v>34</v>
      </c>
      <c r="E221" s="11" t="s">
        <v>207</v>
      </c>
      <c r="F221" s="12">
        <v>154</v>
      </c>
      <c r="G221" s="10" t="s">
        <v>124</v>
      </c>
      <c r="H221" s="13"/>
      <c r="I221" s="13"/>
      <c r="J221" s="10"/>
    </row>
    <row r="222" spans="1:10" ht="89.25" x14ac:dyDescent="0.2">
      <c r="A222" s="2" t="s">
        <v>98</v>
      </c>
      <c r="B222" s="9">
        <v>1</v>
      </c>
      <c r="C222" s="9">
        <v>6</v>
      </c>
      <c r="D222" s="10" t="s">
        <v>35</v>
      </c>
      <c r="E222" s="11" t="s">
        <v>208</v>
      </c>
      <c r="F222" s="12">
        <v>2</v>
      </c>
      <c r="G222" s="10" t="s">
        <v>109</v>
      </c>
      <c r="H222" s="13"/>
      <c r="I222" s="13"/>
      <c r="J222" s="10"/>
    </row>
    <row r="223" spans="1:10" x14ac:dyDescent="0.2">
      <c r="A223" s="1" t="s">
        <v>209</v>
      </c>
      <c r="B223" s="1"/>
      <c r="C223" s="1"/>
      <c r="D223" s="1"/>
      <c r="E223" s="1"/>
      <c r="F223" s="1"/>
      <c r="G223" s="1"/>
      <c r="H223" s="1" t="s">
        <v>67</v>
      </c>
      <c r="I223" s="13">
        <f>I211+I212+I213+I214+I215+I216+I217+I218+I219+I220+I221+I222</f>
        <v>0</v>
      </c>
      <c r="J223" s="1"/>
    </row>
    <row r="226" spans="1:10" ht="15" x14ac:dyDescent="0.25">
      <c r="A226" s="21" t="s">
        <v>210</v>
      </c>
      <c r="B226" s="22"/>
      <c r="C226" s="22"/>
      <c r="D226" s="22"/>
      <c r="E226" s="22"/>
      <c r="F226" s="22"/>
      <c r="G226" s="22"/>
      <c r="H226" s="22"/>
      <c r="I226" s="22"/>
      <c r="J226" s="22"/>
    </row>
    <row r="227" spans="1:10" ht="15" x14ac:dyDescent="0.25">
      <c r="A227" s="21" t="s">
        <v>97</v>
      </c>
      <c r="B227" s="22"/>
      <c r="C227" s="22"/>
      <c r="D227" s="22"/>
      <c r="E227" s="22"/>
      <c r="F227" s="22"/>
      <c r="G227" s="22"/>
      <c r="H227" s="22"/>
      <c r="I227" s="22"/>
      <c r="J227" s="22"/>
    </row>
    <row r="229" spans="1:10" ht="15" x14ac:dyDescent="0.25">
      <c r="A229" s="3" t="s">
        <v>2</v>
      </c>
      <c r="B229" s="3" t="s">
        <v>3</v>
      </c>
      <c r="C229" s="3" t="s">
        <v>4</v>
      </c>
      <c r="D229" s="3" t="s">
        <v>5</v>
      </c>
      <c r="E229" s="3" t="s">
        <v>6</v>
      </c>
      <c r="F229" s="7" t="s">
        <v>7</v>
      </c>
      <c r="G229" s="3" t="s">
        <v>8</v>
      </c>
      <c r="H229" s="7" t="s">
        <v>9</v>
      </c>
      <c r="I229" s="7" t="s">
        <v>10</v>
      </c>
      <c r="J229" s="3" t="s">
        <v>11</v>
      </c>
    </row>
    <row r="230" spans="1:10" ht="104.25" x14ac:dyDescent="0.2">
      <c r="A230" s="2" t="s">
        <v>98</v>
      </c>
      <c r="B230" s="9">
        <v>1</v>
      </c>
      <c r="C230" s="9">
        <v>7</v>
      </c>
      <c r="D230" s="10" t="s">
        <v>13</v>
      </c>
      <c r="E230" s="11" t="s">
        <v>211</v>
      </c>
      <c r="F230" s="12">
        <v>818</v>
      </c>
      <c r="G230" s="10" t="s">
        <v>109</v>
      </c>
      <c r="H230" s="13"/>
      <c r="I230" s="13"/>
      <c r="J230" s="10"/>
    </row>
    <row r="231" spans="1:10" x14ac:dyDescent="0.2">
      <c r="A231" s="2" t="s">
        <v>98</v>
      </c>
      <c r="B231" s="9">
        <v>1</v>
      </c>
      <c r="C231" s="9">
        <v>7</v>
      </c>
      <c r="D231" s="10" t="s">
        <v>16</v>
      </c>
      <c r="E231" s="11" t="s">
        <v>212</v>
      </c>
      <c r="F231" s="12">
        <v>13</v>
      </c>
      <c r="G231" s="10" t="s">
        <v>109</v>
      </c>
      <c r="H231" s="13"/>
      <c r="I231" s="13"/>
      <c r="J231" s="10"/>
    </row>
    <row r="232" spans="1:10" x14ac:dyDescent="0.2">
      <c r="A232" s="2" t="s">
        <v>98</v>
      </c>
      <c r="B232" s="9">
        <v>1</v>
      </c>
      <c r="C232" s="9">
        <v>7</v>
      </c>
      <c r="D232" s="10" t="s">
        <v>18</v>
      </c>
      <c r="E232" s="11" t="s">
        <v>213</v>
      </c>
      <c r="F232" s="12">
        <v>16</v>
      </c>
      <c r="G232" s="10" t="s">
        <v>109</v>
      </c>
      <c r="H232" s="13"/>
      <c r="I232" s="13"/>
      <c r="J232" s="10"/>
    </row>
    <row r="233" spans="1:10" ht="89.25" x14ac:dyDescent="0.2">
      <c r="A233" s="2" t="s">
        <v>98</v>
      </c>
      <c r="B233" s="9">
        <v>1</v>
      </c>
      <c r="C233" s="9">
        <v>7</v>
      </c>
      <c r="D233" s="10" t="s">
        <v>20</v>
      </c>
      <c r="E233" s="11" t="s">
        <v>214</v>
      </c>
      <c r="F233" s="12">
        <v>19</v>
      </c>
      <c r="G233" s="10" t="s">
        <v>109</v>
      </c>
      <c r="H233" s="13"/>
      <c r="I233" s="13"/>
      <c r="J233" s="10"/>
    </row>
    <row r="234" spans="1:10" ht="201" x14ac:dyDescent="0.2">
      <c r="A234" s="2" t="s">
        <v>98</v>
      </c>
      <c r="B234" s="9">
        <v>1</v>
      </c>
      <c r="C234" s="9">
        <v>7</v>
      </c>
      <c r="D234" s="10" t="s">
        <v>22</v>
      </c>
      <c r="E234" s="11" t="s">
        <v>215</v>
      </c>
      <c r="F234" s="12">
        <v>0</v>
      </c>
      <c r="G234" s="10"/>
      <c r="H234" s="13"/>
      <c r="I234" s="13"/>
      <c r="J234" s="10"/>
    </row>
    <row r="235" spans="1:10" x14ac:dyDescent="0.2">
      <c r="A235" s="2" t="s">
        <v>98</v>
      </c>
      <c r="B235" s="9">
        <v>1</v>
      </c>
      <c r="C235" s="9">
        <v>7</v>
      </c>
      <c r="D235" s="10" t="s">
        <v>24</v>
      </c>
      <c r="E235" s="11" t="s">
        <v>216</v>
      </c>
      <c r="F235" s="12">
        <v>874</v>
      </c>
      <c r="G235" s="10" t="s">
        <v>109</v>
      </c>
      <c r="H235" s="13"/>
      <c r="I235" s="13"/>
      <c r="J235" s="10"/>
    </row>
    <row r="236" spans="1:10" ht="88.5" x14ac:dyDescent="0.2">
      <c r="A236" s="2" t="s">
        <v>98</v>
      </c>
      <c r="B236" s="9">
        <v>1</v>
      </c>
      <c r="C236" s="9">
        <v>7</v>
      </c>
      <c r="D236" s="10" t="s">
        <v>27</v>
      </c>
      <c r="E236" s="11" t="s">
        <v>217</v>
      </c>
      <c r="F236" s="12">
        <v>501</v>
      </c>
      <c r="G236" s="10" t="s">
        <v>109</v>
      </c>
      <c r="H236" s="13"/>
      <c r="I236" s="13"/>
      <c r="J236" s="10"/>
    </row>
    <row r="237" spans="1:10" ht="28.5" x14ac:dyDescent="0.2">
      <c r="A237" s="2" t="s">
        <v>98</v>
      </c>
      <c r="B237" s="9">
        <v>1</v>
      </c>
      <c r="C237" s="9">
        <v>7</v>
      </c>
      <c r="D237" s="10" t="s">
        <v>29</v>
      </c>
      <c r="E237" s="11" t="s">
        <v>218</v>
      </c>
      <c r="F237" s="12">
        <v>46</v>
      </c>
      <c r="G237" s="10" t="s">
        <v>124</v>
      </c>
      <c r="H237" s="13"/>
      <c r="I237" s="13"/>
      <c r="J237" s="10"/>
    </row>
    <row r="238" spans="1:10" ht="89.25" x14ac:dyDescent="0.2">
      <c r="A238" s="2" t="s">
        <v>98</v>
      </c>
      <c r="B238" s="9">
        <v>1</v>
      </c>
      <c r="C238" s="9">
        <v>7</v>
      </c>
      <c r="D238" s="10" t="s">
        <v>32</v>
      </c>
      <c r="E238" s="11" t="s">
        <v>219</v>
      </c>
      <c r="F238" s="12">
        <v>15</v>
      </c>
      <c r="G238" s="10" t="s">
        <v>109</v>
      </c>
      <c r="H238" s="13"/>
      <c r="I238" s="13"/>
      <c r="J238" s="10"/>
    </row>
    <row r="239" spans="1:10" x14ac:dyDescent="0.2">
      <c r="A239" s="1" t="s">
        <v>220</v>
      </c>
      <c r="B239" s="1"/>
      <c r="C239" s="1"/>
      <c r="D239" s="1"/>
      <c r="E239" s="1"/>
      <c r="F239" s="1"/>
      <c r="G239" s="1"/>
      <c r="H239" s="1" t="s">
        <v>67</v>
      </c>
      <c r="I239" s="13">
        <f>I230+I231+I232+I233+I234+I235+I236+I237+I238</f>
        <v>0</v>
      </c>
      <c r="J239" s="1"/>
    </row>
    <row r="247" spans="1:9" ht="15" x14ac:dyDescent="0.25">
      <c r="A247" s="3" t="s">
        <v>89</v>
      </c>
      <c r="B247" s="14"/>
      <c r="C247" s="14"/>
      <c r="D247" s="14"/>
      <c r="E247" s="14"/>
      <c r="F247" s="14"/>
      <c r="G247" s="14"/>
      <c r="H247" s="14"/>
      <c r="I247" s="7" t="s">
        <v>90</v>
      </c>
    </row>
    <row r="248" spans="1:9" x14ac:dyDescent="0.2">
      <c r="A248" s="15" t="s">
        <v>221</v>
      </c>
      <c r="I248" s="16">
        <f>I108</f>
        <v>0</v>
      </c>
    </row>
    <row r="249" spans="1:9" x14ac:dyDescent="0.2">
      <c r="A249" s="15" t="s">
        <v>222</v>
      </c>
      <c r="I249" s="16">
        <f>I138</f>
        <v>0</v>
      </c>
    </row>
    <row r="250" spans="1:9" x14ac:dyDescent="0.2">
      <c r="A250" s="15" t="s">
        <v>223</v>
      </c>
      <c r="I250" s="16">
        <f>I165</f>
        <v>0</v>
      </c>
    </row>
    <row r="251" spans="1:9" x14ac:dyDescent="0.2">
      <c r="A251" s="15" t="s">
        <v>224</v>
      </c>
      <c r="I251" s="16">
        <f>I185</f>
        <v>0</v>
      </c>
    </row>
    <row r="252" spans="1:9" x14ac:dyDescent="0.2">
      <c r="A252" s="15" t="s">
        <v>225</v>
      </c>
      <c r="I252" s="16">
        <f>I204</f>
        <v>0</v>
      </c>
    </row>
    <row r="253" spans="1:9" x14ac:dyDescent="0.2">
      <c r="A253" s="15" t="s">
        <v>226</v>
      </c>
      <c r="I253" s="16">
        <f>I223</f>
        <v>0</v>
      </c>
    </row>
    <row r="254" spans="1:9" x14ac:dyDescent="0.2">
      <c r="A254" s="15" t="s">
        <v>227</v>
      </c>
      <c r="I254" s="16">
        <f>I239</f>
        <v>0</v>
      </c>
    </row>
    <row r="255" spans="1:9" x14ac:dyDescent="0.2">
      <c r="A255" s="15"/>
      <c r="I255" s="15"/>
    </row>
    <row r="256" spans="1:9" x14ac:dyDescent="0.2">
      <c r="A256" s="17"/>
      <c r="B256" s="18"/>
      <c r="C256" s="18"/>
      <c r="D256" s="18"/>
      <c r="E256" s="18"/>
      <c r="F256" s="18"/>
      <c r="G256" s="18"/>
      <c r="H256" s="18"/>
      <c r="I256" s="17"/>
    </row>
    <row r="257" spans="1:10" x14ac:dyDescent="0.2">
      <c r="H257" s="4" t="s">
        <v>95</v>
      </c>
      <c r="I257" s="13">
        <f>SUM(I248:I256)</f>
        <v>0</v>
      </c>
    </row>
    <row r="261" spans="1:10" ht="15" x14ac:dyDescent="0.25">
      <c r="A261" s="21" t="s">
        <v>228</v>
      </c>
      <c r="B261" s="22"/>
      <c r="C261" s="22"/>
      <c r="D261" s="22"/>
      <c r="E261" s="22"/>
      <c r="F261" s="22"/>
      <c r="G261" s="22"/>
      <c r="H261" s="22"/>
      <c r="I261" s="22"/>
      <c r="J261" s="22"/>
    </row>
    <row r="262" spans="1:10" ht="15" x14ac:dyDescent="0.25">
      <c r="A262" s="21" t="s">
        <v>229</v>
      </c>
      <c r="B262" s="22"/>
      <c r="C262" s="22"/>
      <c r="D262" s="22"/>
      <c r="E262" s="22"/>
      <c r="F262" s="22"/>
      <c r="G262" s="22"/>
      <c r="H262" s="22"/>
      <c r="I262" s="22"/>
      <c r="J262" s="22"/>
    </row>
    <row r="264" spans="1:10" ht="15" x14ac:dyDescent="0.25">
      <c r="A264" s="3" t="s">
        <v>2</v>
      </c>
      <c r="B264" s="3" t="s">
        <v>3</v>
      </c>
      <c r="C264" s="3" t="s">
        <v>4</v>
      </c>
      <c r="D264" s="3" t="s">
        <v>5</v>
      </c>
      <c r="E264" s="3" t="s">
        <v>6</v>
      </c>
      <c r="F264" s="7" t="s">
        <v>7</v>
      </c>
      <c r="G264" s="3" t="s">
        <v>8</v>
      </c>
      <c r="H264" s="7" t="s">
        <v>9</v>
      </c>
      <c r="I264" s="7" t="s">
        <v>10</v>
      </c>
      <c r="J264" s="3" t="s">
        <v>11</v>
      </c>
    </row>
    <row r="265" spans="1:10" ht="179.25" x14ac:dyDescent="0.2">
      <c r="A265" s="2" t="s">
        <v>230</v>
      </c>
      <c r="B265" s="9">
        <v>1</v>
      </c>
      <c r="C265" s="9">
        <v>1</v>
      </c>
      <c r="D265" s="10" t="s">
        <v>13</v>
      </c>
      <c r="E265" s="11" t="s">
        <v>231</v>
      </c>
      <c r="F265" s="12">
        <v>1</v>
      </c>
      <c r="G265" s="10" t="s">
        <v>127</v>
      </c>
      <c r="H265" s="13"/>
      <c r="I265" s="6"/>
      <c r="J265" s="10"/>
    </row>
    <row r="266" spans="1:10" ht="44.25" x14ac:dyDescent="0.2">
      <c r="A266" s="2" t="s">
        <v>230</v>
      </c>
      <c r="B266" s="9">
        <v>1</v>
      </c>
      <c r="C266" s="9">
        <v>1</v>
      </c>
      <c r="D266" s="10" t="s">
        <v>16</v>
      </c>
      <c r="E266" s="11" t="s">
        <v>232</v>
      </c>
      <c r="F266" s="12">
        <v>1</v>
      </c>
      <c r="G266" s="10" t="s">
        <v>127</v>
      </c>
      <c r="H266" s="13"/>
      <c r="I266" s="6"/>
      <c r="J266" s="10"/>
    </row>
    <row r="267" spans="1:10" x14ac:dyDescent="0.2">
      <c r="A267" s="2" t="s">
        <v>230</v>
      </c>
      <c r="B267" s="9">
        <v>1</v>
      </c>
      <c r="C267" s="9">
        <v>1</v>
      </c>
      <c r="D267" s="10" t="s">
        <v>18</v>
      </c>
      <c r="E267" s="11" t="s">
        <v>233</v>
      </c>
      <c r="F267" s="12">
        <v>3.35</v>
      </c>
      <c r="G267" s="10" t="s">
        <v>169</v>
      </c>
      <c r="H267" s="13"/>
      <c r="I267" s="6"/>
      <c r="J267" s="10"/>
    </row>
    <row r="268" spans="1:10" x14ac:dyDescent="0.2">
      <c r="A268" s="2" t="s">
        <v>230</v>
      </c>
      <c r="B268" s="9">
        <v>1</v>
      </c>
      <c r="C268" s="9">
        <v>1</v>
      </c>
      <c r="D268" s="10" t="s">
        <v>20</v>
      </c>
      <c r="E268" s="11" t="s">
        <v>234</v>
      </c>
      <c r="F268" s="12">
        <v>55.27000000000001</v>
      </c>
      <c r="G268" s="10" t="s">
        <v>169</v>
      </c>
      <c r="H268" s="13"/>
      <c r="I268" s="6"/>
      <c r="J268" s="10"/>
    </row>
    <row r="269" spans="1:10" x14ac:dyDescent="0.2">
      <c r="A269" s="2" t="s">
        <v>230</v>
      </c>
      <c r="B269" s="9">
        <v>1</v>
      </c>
      <c r="C269" s="9">
        <v>1</v>
      </c>
      <c r="D269" s="10" t="s">
        <v>22</v>
      </c>
      <c r="E269" s="11" t="s">
        <v>235</v>
      </c>
      <c r="F269" s="12">
        <v>14.69</v>
      </c>
      <c r="G269" s="10" t="s">
        <v>169</v>
      </c>
      <c r="H269" s="13"/>
      <c r="I269" s="6"/>
      <c r="J269" s="10"/>
    </row>
    <row r="270" spans="1:10" ht="44.25" x14ac:dyDescent="0.2">
      <c r="A270" s="2" t="s">
        <v>230</v>
      </c>
      <c r="B270" s="9">
        <v>1</v>
      </c>
      <c r="C270" s="9">
        <v>1</v>
      </c>
      <c r="D270" s="10" t="s">
        <v>24</v>
      </c>
      <c r="E270" s="11" t="s">
        <v>236</v>
      </c>
      <c r="F270" s="12">
        <v>2.3199999999999998</v>
      </c>
      <c r="G270" s="10" t="s">
        <v>169</v>
      </c>
      <c r="H270" s="13"/>
      <c r="I270" s="6"/>
      <c r="J270" s="10"/>
    </row>
    <row r="271" spans="1:10" ht="44.25" x14ac:dyDescent="0.2">
      <c r="A271" s="2" t="s">
        <v>230</v>
      </c>
      <c r="B271" s="9">
        <v>1</v>
      </c>
      <c r="C271" s="9">
        <v>1</v>
      </c>
      <c r="D271" s="10" t="s">
        <v>27</v>
      </c>
      <c r="E271" s="11" t="s">
        <v>237</v>
      </c>
      <c r="F271" s="12">
        <v>0.19</v>
      </c>
      <c r="G271" s="10" t="s">
        <v>169</v>
      </c>
      <c r="H271" s="13"/>
      <c r="I271" s="6"/>
      <c r="J271" s="10"/>
    </row>
    <row r="272" spans="1:10" ht="44.25" x14ac:dyDescent="0.2">
      <c r="A272" s="2" t="s">
        <v>230</v>
      </c>
      <c r="B272" s="9">
        <v>1</v>
      </c>
      <c r="C272" s="9">
        <v>1</v>
      </c>
      <c r="D272" s="10" t="s">
        <v>29</v>
      </c>
      <c r="E272" s="11" t="s">
        <v>238</v>
      </c>
      <c r="F272" s="12">
        <v>18.48</v>
      </c>
      <c r="G272" s="10" t="s">
        <v>169</v>
      </c>
      <c r="H272" s="13"/>
      <c r="I272" s="6"/>
      <c r="J272" s="10"/>
    </row>
    <row r="273" spans="1:10" x14ac:dyDescent="0.2">
      <c r="A273" s="2" t="s">
        <v>230</v>
      </c>
      <c r="B273" s="9">
        <v>1</v>
      </c>
      <c r="C273" s="9">
        <v>1</v>
      </c>
      <c r="D273" s="10" t="s">
        <v>32</v>
      </c>
      <c r="E273" s="11" t="s">
        <v>234</v>
      </c>
      <c r="F273" s="12">
        <v>61.47</v>
      </c>
      <c r="G273" s="10" t="s">
        <v>169</v>
      </c>
      <c r="H273" s="13"/>
      <c r="I273" s="6"/>
      <c r="J273" s="10"/>
    </row>
    <row r="274" spans="1:10" ht="44.25" x14ac:dyDescent="0.2">
      <c r="A274" s="2" t="s">
        <v>230</v>
      </c>
      <c r="B274" s="9">
        <v>1</v>
      </c>
      <c r="C274" s="9">
        <v>1</v>
      </c>
      <c r="D274" s="10" t="s">
        <v>33</v>
      </c>
      <c r="E274" s="11" t="s">
        <v>239</v>
      </c>
      <c r="F274" s="12">
        <v>60.429999999999993</v>
      </c>
      <c r="G274" s="10" t="s">
        <v>169</v>
      </c>
      <c r="H274" s="13"/>
      <c r="I274" s="6"/>
      <c r="J274" s="10"/>
    </row>
    <row r="275" spans="1:10" x14ac:dyDescent="0.2">
      <c r="A275" s="2" t="s">
        <v>230</v>
      </c>
      <c r="B275" s="9">
        <v>1</v>
      </c>
      <c r="C275" s="9">
        <v>1</v>
      </c>
      <c r="D275" s="10" t="s">
        <v>34</v>
      </c>
      <c r="E275" s="11" t="s">
        <v>235</v>
      </c>
      <c r="F275" s="12">
        <v>15.86</v>
      </c>
      <c r="G275" s="10" t="s">
        <v>169</v>
      </c>
      <c r="H275" s="13"/>
      <c r="I275" s="6"/>
      <c r="J275" s="10"/>
    </row>
    <row r="276" spans="1:10" ht="44.25" x14ac:dyDescent="0.2">
      <c r="A276" s="2" t="s">
        <v>230</v>
      </c>
      <c r="B276" s="9">
        <v>1</v>
      </c>
      <c r="C276" s="9">
        <v>1</v>
      </c>
      <c r="D276" s="10" t="s">
        <v>35</v>
      </c>
      <c r="E276" s="11" t="s">
        <v>240</v>
      </c>
      <c r="F276" s="12">
        <v>0.5</v>
      </c>
      <c r="G276" s="10" t="s">
        <v>169</v>
      </c>
      <c r="H276" s="13"/>
      <c r="I276" s="6"/>
      <c r="J276" s="10"/>
    </row>
    <row r="277" spans="1:10" x14ac:dyDescent="0.2">
      <c r="A277" s="2" t="s">
        <v>230</v>
      </c>
      <c r="B277" s="9">
        <v>1</v>
      </c>
      <c r="C277" s="9">
        <v>1</v>
      </c>
      <c r="D277" s="10" t="s">
        <v>36</v>
      </c>
      <c r="E277" s="11" t="s">
        <v>234</v>
      </c>
      <c r="F277" s="12">
        <v>7.61</v>
      </c>
      <c r="G277" s="10" t="s">
        <v>169</v>
      </c>
      <c r="H277" s="13"/>
      <c r="I277" s="6"/>
      <c r="J277" s="10"/>
    </row>
    <row r="278" spans="1:10" x14ac:dyDescent="0.2">
      <c r="A278" s="2" t="s">
        <v>230</v>
      </c>
      <c r="B278" s="9">
        <v>1</v>
      </c>
      <c r="C278" s="9">
        <v>1</v>
      </c>
      <c r="D278" s="10" t="s">
        <v>40</v>
      </c>
      <c r="E278" s="11" t="s">
        <v>235</v>
      </c>
      <c r="F278" s="12">
        <v>14.180000000000001</v>
      </c>
      <c r="G278" s="10" t="s">
        <v>169</v>
      </c>
      <c r="H278" s="13"/>
      <c r="I278" s="6"/>
      <c r="J278" s="10"/>
    </row>
    <row r="279" spans="1:10" ht="44.25" x14ac:dyDescent="0.2">
      <c r="A279" s="2" t="s">
        <v>230</v>
      </c>
      <c r="B279" s="9">
        <v>1</v>
      </c>
      <c r="C279" s="9">
        <v>1</v>
      </c>
      <c r="D279" s="10" t="s">
        <v>42</v>
      </c>
      <c r="E279" s="11" t="s">
        <v>241</v>
      </c>
      <c r="F279" s="12">
        <v>1.48</v>
      </c>
      <c r="G279" s="10" t="s">
        <v>169</v>
      </c>
      <c r="H279" s="13"/>
      <c r="I279" s="6"/>
      <c r="J279" s="10"/>
    </row>
    <row r="280" spans="1:10" x14ac:dyDescent="0.2">
      <c r="A280" s="2" t="s">
        <v>230</v>
      </c>
      <c r="B280" s="9">
        <v>1</v>
      </c>
      <c r="C280" s="9">
        <v>1</v>
      </c>
      <c r="D280" s="10" t="s">
        <v>44</v>
      </c>
      <c r="E280" s="11" t="s">
        <v>234</v>
      </c>
      <c r="F280" s="12">
        <v>1.37</v>
      </c>
      <c r="G280" s="10" t="s">
        <v>169</v>
      </c>
      <c r="H280" s="13"/>
      <c r="I280" s="6"/>
      <c r="J280" s="10"/>
    </row>
    <row r="281" spans="1:10" ht="44.25" x14ac:dyDescent="0.2">
      <c r="A281" s="2" t="s">
        <v>230</v>
      </c>
      <c r="B281" s="9">
        <v>1</v>
      </c>
      <c r="C281" s="9">
        <v>1</v>
      </c>
      <c r="D281" s="10" t="s">
        <v>46</v>
      </c>
      <c r="E281" s="11" t="s">
        <v>242</v>
      </c>
      <c r="F281" s="12">
        <v>4.05</v>
      </c>
      <c r="G281" s="10" t="s">
        <v>169</v>
      </c>
      <c r="H281" s="13"/>
      <c r="I281" s="6"/>
      <c r="J281" s="10"/>
    </row>
    <row r="282" spans="1:10" ht="44.25" x14ac:dyDescent="0.2">
      <c r="A282" s="2" t="s">
        <v>230</v>
      </c>
      <c r="B282" s="9">
        <v>1</v>
      </c>
      <c r="C282" s="9">
        <v>1</v>
      </c>
      <c r="D282" s="10" t="s">
        <v>47</v>
      </c>
      <c r="E282" s="11" t="s">
        <v>243</v>
      </c>
      <c r="F282" s="12">
        <v>1.9799999999999998</v>
      </c>
      <c r="G282" s="10" t="s">
        <v>169</v>
      </c>
      <c r="H282" s="13"/>
      <c r="I282" s="6"/>
      <c r="J282" s="10"/>
    </row>
    <row r="283" spans="1:10" x14ac:dyDescent="0.2">
      <c r="A283" s="2" t="s">
        <v>230</v>
      </c>
      <c r="B283" s="9">
        <v>1</v>
      </c>
      <c r="C283" s="9">
        <v>1</v>
      </c>
      <c r="D283" s="10" t="s">
        <v>48</v>
      </c>
      <c r="E283" s="11" t="s">
        <v>234</v>
      </c>
      <c r="F283" s="12">
        <v>1.45</v>
      </c>
      <c r="G283" s="10" t="s">
        <v>169</v>
      </c>
      <c r="H283" s="13"/>
      <c r="I283" s="6"/>
      <c r="J283" s="10"/>
    </row>
    <row r="284" spans="1:10" x14ac:dyDescent="0.2">
      <c r="A284" s="2" t="s">
        <v>230</v>
      </c>
      <c r="B284" s="9">
        <v>1</v>
      </c>
      <c r="C284" s="9">
        <v>1</v>
      </c>
      <c r="D284" s="10" t="s">
        <v>50</v>
      </c>
      <c r="E284" s="11" t="s">
        <v>244</v>
      </c>
      <c r="F284" s="12">
        <v>31.620000000000005</v>
      </c>
      <c r="G284" s="10" t="s">
        <v>169</v>
      </c>
      <c r="H284" s="13"/>
      <c r="I284" s="6"/>
      <c r="J284" s="10"/>
    </row>
    <row r="285" spans="1:10" ht="44.25" x14ac:dyDescent="0.2">
      <c r="A285" s="2" t="s">
        <v>230</v>
      </c>
      <c r="B285" s="9">
        <v>1</v>
      </c>
      <c r="C285" s="9">
        <v>1</v>
      </c>
      <c r="D285" s="10" t="s">
        <v>52</v>
      </c>
      <c r="E285" s="11" t="s">
        <v>245</v>
      </c>
      <c r="F285" s="12">
        <v>39.700000000000003</v>
      </c>
      <c r="G285" s="10" t="s">
        <v>169</v>
      </c>
      <c r="H285" s="13"/>
      <c r="I285" s="6"/>
      <c r="J285" s="10"/>
    </row>
    <row r="286" spans="1:10" ht="44.25" x14ac:dyDescent="0.2">
      <c r="A286" s="2" t="s">
        <v>230</v>
      </c>
      <c r="B286" s="9">
        <v>1</v>
      </c>
      <c r="C286" s="9">
        <v>1</v>
      </c>
      <c r="D286" s="10" t="s">
        <v>54</v>
      </c>
      <c r="E286" s="11" t="s">
        <v>246</v>
      </c>
      <c r="F286" s="12">
        <v>1</v>
      </c>
      <c r="G286" s="10" t="s">
        <v>100</v>
      </c>
      <c r="H286" s="13"/>
      <c r="I286" s="13"/>
      <c r="J286" s="10"/>
    </row>
    <row r="287" spans="1:10" ht="73.5" x14ac:dyDescent="0.2">
      <c r="A287" s="2" t="s">
        <v>230</v>
      </c>
      <c r="B287" s="9">
        <v>1</v>
      </c>
      <c r="C287" s="9">
        <v>1</v>
      </c>
      <c r="D287" s="10" t="s">
        <v>56</v>
      </c>
      <c r="E287" s="11" t="s">
        <v>247</v>
      </c>
      <c r="F287" s="12">
        <v>192</v>
      </c>
      <c r="G287" s="10" t="s">
        <v>124</v>
      </c>
      <c r="H287" s="13"/>
      <c r="I287" s="6"/>
      <c r="J287" s="10"/>
    </row>
    <row r="288" spans="1:10" ht="72.75" x14ac:dyDescent="0.2">
      <c r="A288" s="2" t="s">
        <v>230</v>
      </c>
      <c r="B288" s="9">
        <v>1</v>
      </c>
      <c r="C288" s="9">
        <v>1</v>
      </c>
      <c r="D288" s="10" t="s">
        <v>56</v>
      </c>
      <c r="E288" s="11" t="s">
        <v>248</v>
      </c>
      <c r="F288" s="12">
        <v>1</v>
      </c>
      <c r="G288" s="10" t="s">
        <v>100</v>
      </c>
      <c r="H288" s="13"/>
      <c r="I288" s="13"/>
      <c r="J288" s="10"/>
    </row>
    <row r="289" spans="1:10" ht="74.25" x14ac:dyDescent="0.2">
      <c r="A289" s="2" t="s">
        <v>230</v>
      </c>
      <c r="B289" s="9">
        <v>1</v>
      </c>
      <c r="C289" s="9">
        <v>1</v>
      </c>
      <c r="D289" s="10" t="s">
        <v>57</v>
      </c>
      <c r="E289" s="11" t="s">
        <v>249</v>
      </c>
      <c r="F289" s="12">
        <v>1</v>
      </c>
      <c r="G289" s="10" t="s">
        <v>127</v>
      </c>
      <c r="H289" s="13"/>
      <c r="I289" s="6"/>
      <c r="J289" s="10"/>
    </row>
    <row r="290" spans="1:10" ht="44.25" x14ac:dyDescent="0.2">
      <c r="A290" s="2" t="s">
        <v>230</v>
      </c>
      <c r="B290" s="9">
        <v>1</v>
      </c>
      <c r="C290" s="9">
        <v>1</v>
      </c>
      <c r="D290" s="10" t="s">
        <v>59</v>
      </c>
      <c r="E290" s="11" t="s">
        <v>250</v>
      </c>
      <c r="F290" s="12">
        <v>336</v>
      </c>
      <c r="G290" s="10" t="s">
        <v>169</v>
      </c>
      <c r="H290" s="13"/>
      <c r="I290" s="13"/>
      <c r="J290" s="10"/>
    </row>
    <row r="291" spans="1:10" ht="44.25" x14ac:dyDescent="0.2">
      <c r="A291" s="2" t="s">
        <v>230</v>
      </c>
      <c r="B291" s="9">
        <v>1</v>
      </c>
      <c r="C291" s="9">
        <v>1</v>
      </c>
      <c r="D291" s="10" t="s">
        <v>251</v>
      </c>
      <c r="E291" s="11" t="s">
        <v>252</v>
      </c>
      <c r="F291" s="12">
        <v>1</v>
      </c>
      <c r="G291" s="10" t="s">
        <v>100</v>
      </c>
      <c r="H291" s="13"/>
      <c r="I291" s="13"/>
      <c r="J291" s="10"/>
    </row>
    <row r="292" spans="1:10" x14ac:dyDescent="0.2">
      <c r="A292" s="2" t="s">
        <v>230</v>
      </c>
      <c r="B292" s="9">
        <v>1</v>
      </c>
      <c r="C292" s="9">
        <v>1</v>
      </c>
      <c r="D292" s="10" t="s">
        <v>253</v>
      </c>
      <c r="E292" s="11" t="s">
        <v>254</v>
      </c>
      <c r="F292" s="12">
        <v>20</v>
      </c>
      <c r="G292" s="10" t="s">
        <v>255</v>
      </c>
      <c r="H292" s="13"/>
      <c r="I292" s="13"/>
      <c r="J292" s="10"/>
    </row>
    <row r="293" spans="1:10" x14ac:dyDescent="0.2">
      <c r="A293" s="2" t="s">
        <v>230</v>
      </c>
      <c r="B293" s="9">
        <v>1</v>
      </c>
      <c r="C293" s="9">
        <v>1</v>
      </c>
      <c r="D293" s="10" t="s">
        <v>256</v>
      </c>
      <c r="E293" s="11" t="s">
        <v>257</v>
      </c>
      <c r="F293" s="12">
        <v>5</v>
      </c>
      <c r="G293" s="10" t="s">
        <v>258</v>
      </c>
      <c r="H293" s="13"/>
      <c r="I293" s="13"/>
      <c r="J293" s="10"/>
    </row>
    <row r="294" spans="1:10" x14ac:dyDescent="0.2">
      <c r="A294" s="1" t="s">
        <v>259</v>
      </c>
      <c r="B294" s="1"/>
      <c r="C294" s="1"/>
      <c r="D294" s="1"/>
      <c r="E294" s="1"/>
      <c r="F294" s="1"/>
      <c r="G294" s="1"/>
      <c r="H294" s="1" t="s">
        <v>67</v>
      </c>
      <c r="I294" s="13">
        <f>I286+I288+I290+I291+I292+I293</f>
        <v>0</v>
      </c>
      <c r="J294" s="1"/>
    </row>
    <row r="297" spans="1:10" ht="15" x14ac:dyDescent="0.25">
      <c r="A297" s="21" t="s">
        <v>260</v>
      </c>
      <c r="B297" s="22"/>
      <c r="C297" s="22"/>
      <c r="D297" s="22"/>
      <c r="E297" s="22"/>
      <c r="F297" s="22"/>
      <c r="G297" s="22"/>
      <c r="H297" s="22"/>
      <c r="I297" s="22"/>
      <c r="J297" s="22"/>
    </row>
    <row r="298" spans="1:10" ht="15" x14ac:dyDescent="0.25">
      <c r="A298" s="21" t="s">
        <v>229</v>
      </c>
      <c r="B298" s="22"/>
      <c r="C298" s="22"/>
      <c r="D298" s="22"/>
      <c r="E298" s="22"/>
      <c r="F298" s="22"/>
      <c r="G298" s="22"/>
      <c r="H298" s="22"/>
      <c r="I298" s="22"/>
      <c r="J298" s="22"/>
    </row>
    <row r="300" spans="1:10" ht="15" x14ac:dyDescent="0.25">
      <c r="A300" s="3" t="s">
        <v>2</v>
      </c>
      <c r="B300" s="3" t="s">
        <v>3</v>
      </c>
      <c r="C300" s="3" t="s">
        <v>4</v>
      </c>
      <c r="D300" s="3" t="s">
        <v>5</v>
      </c>
      <c r="E300" s="3" t="s">
        <v>6</v>
      </c>
      <c r="F300" s="7" t="s">
        <v>7</v>
      </c>
      <c r="G300" s="3" t="s">
        <v>8</v>
      </c>
      <c r="H300" s="7" t="s">
        <v>9</v>
      </c>
      <c r="I300" s="7" t="s">
        <v>10</v>
      </c>
      <c r="J300" s="3" t="s">
        <v>11</v>
      </c>
    </row>
    <row r="301" spans="1:10" ht="58.5" x14ac:dyDescent="0.2">
      <c r="A301" s="2" t="s">
        <v>230</v>
      </c>
      <c r="B301" s="9">
        <v>1</v>
      </c>
      <c r="C301" s="9">
        <v>2</v>
      </c>
      <c r="D301" s="10" t="s">
        <v>13</v>
      </c>
      <c r="E301" s="11" t="s">
        <v>261</v>
      </c>
      <c r="F301" s="12">
        <v>16.8</v>
      </c>
      <c r="G301" s="10" t="s">
        <v>169</v>
      </c>
      <c r="H301" s="13"/>
      <c r="I301" s="13"/>
      <c r="J301" s="10"/>
    </row>
    <row r="302" spans="1:10" ht="72.75" x14ac:dyDescent="0.2">
      <c r="A302" s="2" t="s">
        <v>230</v>
      </c>
      <c r="B302" s="9">
        <v>1</v>
      </c>
      <c r="C302" s="9">
        <v>2</v>
      </c>
      <c r="D302" s="10" t="s">
        <v>16</v>
      </c>
      <c r="E302" s="11" t="s">
        <v>262</v>
      </c>
      <c r="F302" s="12">
        <v>10</v>
      </c>
      <c r="G302" s="10" t="s">
        <v>258</v>
      </c>
      <c r="H302" s="13"/>
      <c r="I302" s="6"/>
      <c r="J302" s="10"/>
    </row>
    <row r="303" spans="1:10" ht="42.75" x14ac:dyDescent="0.2">
      <c r="A303" s="2" t="s">
        <v>230</v>
      </c>
      <c r="B303" s="9">
        <v>1</v>
      </c>
      <c r="C303" s="9">
        <v>2</v>
      </c>
      <c r="D303" s="10" t="s">
        <v>18</v>
      </c>
      <c r="E303" s="11" t="s">
        <v>263</v>
      </c>
      <c r="F303" s="12">
        <v>12</v>
      </c>
      <c r="G303" s="10" t="s">
        <v>258</v>
      </c>
      <c r="H303" s="13"/>
      <c r="I303" s="6"/>
      <c r="J303" s="10"/>
    </row>
    <row r="304" spans="1:10" ht="57" x14ac:dyDescent="0.2">
      <c r="A304" s="2" t="s">
        <v>230</v>
      </c>
      <c r="B304" s="9">
        <v>1</v>
      </c>
      <c r="C304" s="9">
        <v>2</v>
      </c>
      <c r="D304" s="10" t="s">
        <v>20</v>
      </c>
      <c r="E304" s="11" t="s">
        <v>264</v>
      </c>
      <c r="F304" s="12">
        <v>22</v>
      </c>
      <c r="G304" s="10" t="s">
        <v>83</v>
      </c>
      <c r="H304" s="13"/>
      <c r="I304" s="6"/>
      <c r="J304" s="10"/>
    </row>
    <row r="305" spans="1:10" ht="42.75" x14ac:dyDescent="0.2">
      <c r="A305" s="2" t="s">
        <v>230</v>
      </c>
      <c r="B305" s="9">
        <v>1</v>
      </c>
      <c r="C305" s="9">
        <v>2</v>
      </c>
      <c r="D305" s="10" t="s">
        <v>22</v>
      </c>
      <c r="E305" s="11" t="s">
        <v>265</v>
      </c>
      <c r="F305" s="12">
        <v>145</v>
      </c>
      <c r="G305" s="10" t="s">
        <v>83</v>
      </c>
      <c r="H305" s="13"/>
      <c r="I305" s="6"/>
      <c r="J305" s="10"/>
    </row>
    <row r="306" spans="1:10" ht="42.75" x14ac:dyDescent="0.2">
      <c r="A306" s="2" t="s">
        <v>230</v>
      </c>
      <c r="B306" s="9">
        <v>1</v>
      </c>
      <c r="C306" s="9">
        <v>2</v>
      </c>
      <c r="D306" s="10" t="s">
        <v>24</v>
      </c>
      <c r="E306" s="11" t="s">
        <v>266</v>
      </c>
      <c r="F306" s="12">
        <v>145</v>
      </c>
      <c r="G306" s="10" t="s">
        <v>83</v>
      </c>
      <c r="H306" s="13"/>
      <c r="I306" s="6"/>
      <c r="J306" s="10"/>
    </row>
    <row r="307" spans="1:10" ht="72.75" x14ac:dyDescent="0.2">
      <c r="A307" s="2" t="s">
        <v>230</v>
      </c>
      <c r="B307" s="9">
        <v>1</v>
      </c>
      <c r="C307" s="9">
        <v>2</v>
      </c>
      <c r="D307" s="10" t="s">
        <v>27</v>
      </c>
      <c r="E307" s="11" t="s">
        <v>267</v>
      </c>
      <c r="F307" s="12">
        <v>14.000000000000002</v>
      </c>
      <c r="G307" s="10" t="s">
        <v>258</v>
      </c>
      <c r="H307" s="13"/>
      <c r="I307" s="13"/>
      <c r="J307" s="10"/>
    </row>
    <row r="308" spans="1:10" ht="44.25" x14ac:dyDescent="0.2">
      <c r="A308" s="2" t="s">
        <v>230</v>
      </c>
      <c r="B308" s="9">
        <v>1</v>
      </c>
      <c r="C308" s="9">
        <v>2</v>
      </c>
      <c r="D308" s="10" t="s">
        <v>29</v>
      </c>
      <c r="E308" s="11" t="s">
        <v>268</v>
      </c>
      <c r="F308" s="12">
        <v>20</v>
      </c>
      <c r="G308" s="10" t="s">
        <v>258</v>
      </c>
      <c r="H308" s="13"/>
      <c r="I308" s="6"/>
      <c r="J308" s="10"/>
    </row>
    <row r="309" spans="1:10" ht="58.5" x14ac:dyDescent="0.2">
      <c r="A309" s="2" t="s">
        <v>230</v>
      </c>
      <c r="B309" s="9">
        <v>1</v>
      </c>
      <c r="C309" s="9">
        <v>2</v>
      </c>
      <c r="D309" s="10" t="s">
        <v>32</v>
      </c>
      <c r="E309" s="11" t="s">
        <v>269</v>
      </c>
      <c r="F309" s="12">
        <v>1</v>
      </c>
      <c r="G309" s="10" t="s">
        <v>100</v>
      </c>
      <c r="H309" s="13"/>
      <c r="I309" s="6"/>
      <c r="J309" s="10"/>
    </row>
    <row r="310" spans="1:10" ht="28.5" x14ac:dyDescent="0.2">
      <c r="A310" s="2" t="s">
        <v>230</v>
      </c>
      <c r="B310" s="9">
        <v>1</v>
      </c>
      <c r="C310" s="9">
        <v>2</v>
      </c>
      <c r="D310" s="10" t="s">
        <v>33</v>
      </c>
      <c r="E310" s="11" t="s">
        <v>270</v>
      </c>
      <c r="F310" s="12">
        <v>1</v>
      </c>
      <c r="G310" s="10" t="s">
        <v>100</v>
      </c>
      <c r="H310" s="13"/>
      <c r="I310" s="6"/>
      <c r="J310" s="10"/>
    </row>
    <row r="311" spans="1:10" ht="58.5" x14ac:dyDescent="0.2">
      <c r="A311" s="2" t="s">
        <v>230</v>
      </c>
      <c r="B311" s="9">
        <v>1</v>
      </c>
      <c r="C311" s="9">
        <v>2</v>
      </c>
      <c r="D311" s="10" t="s">
        <v>34</v>
      </c>
      <c r="E311" s="11" t="s">
        <v>271</v>
      </c>
      <c r="F311" s="12">
        <v>31</v>
      </c>
      <c r="G311" s="10" t="s">
        <v>109</v>
      </c>
      <c r="H311" s="13"/>
      <c r="I311" s="6"/>
      <c r="J311" s="10"/>
    </row>
    <row r="312" spans="1:10" x14ac:dyDescent="0.2">
      <c r="A312" s="2" t="s">
        <v>230</v>
      </c>
      <c r="B312" s="9">
        <v>1</v>
      </c>
      <c r="C312" s="9">
        <v>2</v>
      </c>
      <c r="D312" s="10" t="s">
        <v>35</v>
      </c>
      <c r="E312" s="11" t="s">
        <v>272</v>
      </c>
      <c r="F312" s="12">
        <v>5548</v>
      </c>
      <c r="G312" s="10" t="s">
        <v>109</v>
      </c>
      <c r="H312" s="13"/>
      <c r="I312" s="6"/>
      <c r="J312" s="10"/>
    </row>
    <row r="313" spans="1:10" ht="28.5" x14ac:dyDescent="0.2">
      <c r="A313" s="2" t="s">
        <v>230</v>
      </c>
      <c r="B313" s="9">
        <v>1</v>
      </c>
      <c r="C313" s="9">
        <v>2</v>
      </c>
      <c r="D313" s="10" t="s">
        <v>36</v>
      </c>
      <c r="E313" s="11" t="s">
        <v>273</v>
      </c>
      <c r="F313" s="12">
        <v>5548</v>
      </c>
      <c r="G313" s="10" t="s">
        <v>109</v>
      </c>
      <c r="H313" s="13"/>
      <c r="I313" s="6"/>
      <c r="J313" s="10"/>
    </row>
    <row r="314" spans="1:10" x14ac:dyDescent="0.2">
      <c r="A314" s="2" t="s">
        <v>230</v>
      </c>
      <c r="B314" s="9">
        <v>1</v>
      </c>
      <c r="C314" s="9">
        <v>2</v>
      </c>
      <c r="D314" s="10" t="s">
        <v>40</v>
      </c>
      <c r="E314" s="11" t="s">
        <v>274</v>
      </c>
      <c r="F314" s="12">
        <v>832</v>
      </c>
      <c r="G314" s="10" t="s">
        <v>109</v>
      </c>
      <c r="H314" s="13"/>
      <c r="I314" s="6"/>
      <c r="J314" s="10"/>
    </row>
    <row r="315" spans="1:10" ht="74.25" x14ac:dyDescent="0.2">
      <c r="A315" s="2" t="s">
        <v>230</v>
      </c>
      <c r="B315" s="9">
        <v>1</v>
      </c>
      <c r="C315" s="9">
        <v>2</v>
      </c>
      <c r="D315" s="10" t="s">
        <v>42</v>
      </c>
      <c r="E315" s="11" t="s">
        <v>275</v>
      </c>
      <c r="F315" s="12">
        <v>2857</v>
      </c>
      <c r="G315" s="10" t="s">
        <v>109</v>
      </c>
      <c r="H315" s="13"/>
      <c r="I315" s="13"/>
      <c r="J315" s="10"/>
    </row>
    <row r="316" spans="1:10" x14ac:dyDescent="0.2">
      <c r="A316" s="2" t="s">
        <v>230</v>
      </c>
      <c r="B316" s="9">
        <v>1</v>
      </c>
      <c r="C316" s="9">
        <v>2</v>
      </c>
      <c r="D316" s="10" t="s">
        <v>44</v>
      </c>
      <c r="E316" s="11" t="s">
        <v>276</v>
      </c>
      <c r="F316" s="12">
        <v>2402</v>
      </c>
      <c r="G316" s="10" t="s">
        <v>109</v>
      </c>
      <c r="H316" s="13"/>
      <c r="I316" s="13"/>
      <c r="J316" s="10"/>
    </row>
    <row r="317" spans="1:10" ht="28.5" x14ac:dyDescent="0.2">
      <c r="A317" s="2" t="s">
        <v>230</v>
      </c>
      <c r="B317" s="9">
        <v>1</v>
      </c>
      <c r="C317" s="9">
        <v>2</v>
      </c>
      <c r="D317" s="10" t="s">
        <v>46</v>
      </c>
      <c r="E317" s="11" t="s">
        <v>277</v>
      </c>
      <c r="F317" s="12">
        <v>395</v>
      </c>
      <c r="G317" s="10" t="s">
        <v>109</v>
      </c>
      <c r="H317" s="13"/>
      <c r="I317" s="6"/>
      <c r="J317" s="10"/>
    </row>
    <row r="318" spans="1:10" ht="28.5" x14ac:dyDescent="0.2">
      <c r="A318" s="2" t="s">
        <v>230</v>
      </c>
      <c r="B318" s="9">
        <v>1</v>
      </c>
      <c r="C318" s="9">
        <v>2</v>
      </c>
      <c r="D318" s="10" t="s">
        <v>47</v>
      </c>
      <c r="E318" s="11" t="s">
        <v>278</v>
      </c>
      <c r="F318" s="12">
        <v>1</v>
      </c>
      <c r="G318" s="10" t="s">
        <v>100</v>
      </c>
      <c r="H318" s="13"/>
      <c r="I318" s="6"/>
      <c r="J318" s="10"/>
    </row>
    <row r="319" spans="1:10" x14ac:dyDescent="0.2">
      <c r="A319" s="2" t="s">
        <v>230</v>
      </c>
      <c r="B319" s="9">
        <v>1</v>
      </c>
      <c r="C319" s="9">
        <v>2</v>
      </c>
      <c r="D319" s="10" t="s">
        <v>48</v>
      </c>
      <c r="E319" s="11" t="s">
        <v>279</v>
      </c>
      <c r="F319" s="12">
        <v>1</v>
      </c>
      <c r="G319" s="10" t="s">
        <v>100</v>
      </c>
      <c r="H319" s="13"/>
      <c r="I319" s="13"/>
      <c r="J319" s="10"/>
    </row>
    <row r="320" spans="1:10" x14ac:dyDescent="0.2">
      <c r="A320" s="2" t="s">
        <v>230</v>
      </c>
      <c r="B320" s="9">
        <v>1</v>
      </c>
      <c r="C320" s="9">
        <v>2</v>
      </c>
      <c r="D320" s="10" t="s">
        <v>50</v>
      </c>
      <c r="E320" s="11" t="s">
        <v>280</v>
      </c>
      <c r="F320" s="12">
        <v>1</v>
      </c>
      <c r="G320" s="10" t="s">
        <v>100</v>
      </c>
      <c r="H320" s="13"/>
      <c r="I320" s="13"/>
      <c r="J320" s="10"/>
    </row>
    <row r="321" spans="1:10" x14ac:dyDescent="0.2">
      <c r="A321" s="2" t="s">
        <v>230</v>
      </c>
      <c r="B321" s="9">
        <v>1</v>
      </c>
      <c r="C321" s="9">
        <v>2</v>
      </c>
      <c r="D321" s="10" t="s">
        <v>52</v>
      </c>
      <c r="E321" s="11" t="s">
        <v>281</v>
      </c>
      <c r="F321" s="12">
        <v>1</v>
      </c>
      <c r="G321" s="10" t="s">
        <v>100</v>
      </c>
      <c r="H321" s="13"/>
      <c r="I321" s="13"/>
      <c r="J321" s="10"/>
    </row>
    <row r="322" spans="1:10" ht="28.5" x14ac:dyDescent="0.2">
      <c r="A322" s="2" t="s">
        <v>230</v>
      </c>
      <c r="B322" s="9">
        <v>1</v>
      </c>
      <c r="C322" s="9">
        <v>2</v>
      </c>
      <c r="D322" s="10" t="s">
        <v>54</v>
      </c>
      <c r="E322" s="11" t="s">
        <v>282</v>
      </c>
      <c r="F322" s="12">
        <v>1</v>
      </c>
      <c r="G322" s="10" t="s">
        <v>100</v>
      </c>
      <c r="H322" s="13"/>
      <c r="I322" s="13"/>
      <c r="J322" s="10"/>
    </row>
    <row r="323" spans="1:10" ht="58.5" x14ac:dyDescent="0.2">
      <c r="A323" s="2" t="s">
        <v>230</v>
      </c>
      <c r="B323" s="9">
        <v>1</v>
      </c>
      <c r="C323" s="9">
        <v>2</v>
      </c>
      <c r="D323" s="10" t="s">
        <v>56</v>
      </c>
      <c r="E323" s="11" t="s">
        <v>283</v>
      </c>
      <c r="F323" s="12">
        <v>634</v>
      </c>
      <c r="G323" s="10" t="s">
        <v>83</v>
      </c>
      <c r="H323" s="13"/>
      <c r="I323" s="6"/>
      <c r="J323" s="10"/>
    </row>
    <row r="324" spans="1:10" x14ac:dyDescent="0.2">
      <c r="A324" s="2" t="s">
        <v>230</v>
      </c>
      <c r="B324" s="9">
        <v>1</v>
      </c>
      <c r="C324" s="9">
        <v>2</v>
      </c>
      <c r="D324" s="10" t="s">
        <v>57</v>
      </c>
      <c r="E324" s="11" t="s">
        <v>284</v>
      </c>
      <c r="F324" s="12">
        <v>53</v>
      </c>
      <c r="G324" s="10" t="s">
        <v>83</v>
      </c>
      <c r="H324" s="13"/>
      <c r="I324" s="6"/>
      <c r="J324" s="10"/>
    </row>
    <row r="325" spans="1:10" x14ac:dyDescent="0.2">
      <c r="A325" s="2" t="s">
        <v>230</v>
      </c>
      <c r="B325" s="9">
        <v>1</v>
      </c>
      <c r="C325" s="9">
        <v>2</v>
      </c>
      <c r="D325" s="10" t="s">
        <v>59</v>
      </c>
      <c r="E325" s="11" t="s">
        <v>285</v>
      </c>
      <c r="F325" s="12">
        <v>107</v>
      </c>
      <c r="G325" s="10" t="s">
        <v>83</v>
      </c>
      <c r="H325" s="13"/>
      <c r="I325" s="6"/>
      <c r="J325" s="10"/>
    </row>
    <row r="326" spans="1:10" ht="28.5" x14ac:dyDescent="0.2">
      <c r="A326" s="2" t="s">
        <v>230</v>
      </c>
      <c r="B326" s="9">
        <v>1</v>
      </c>
      <c r="C326" s="9">
        <v>2</v>
      </c>
      <c r="D326" s="10" t="s">
        <v>251</v>
      </c>
      <c r="E326" s="11" t="s">
        <v>286</v>
      </c>
      <c r="F326" s="12">
        <v>342</v>
      </c>
      <c r="G326" s="10" t="s">
        <v>83</v>
      </c>
      <c r="H326" s="13"/>
      <c r="I326" s="6"/>
      <c r="J326" s="10"/>
    </row>
    <row r="327" spans="1:10" x14ac:dyDescent="0.2">
      <c r="A327" s="1" t="s">
        <v>287</v>
      </c>
      <c r="B327" s="1"/>
      <c r="C327" s="1"/>
      <c r="D327" s="1"/>
      <c r="E327" s="1"/>
      <c r="F327" s="1"/>
      <c r="G327" s="1"/>
      <c r="H327" s="1" t="s">
        <v>67</v>
      </c>
      <c r="I327" s="13">
        <f>I301+I307+I315+I316+I319+I320+I321+I322</f>
        <v>0</v>
      </c>
      <c r="J327" s="1"/>
    </row>
    <row r="330" spans="1:10" ht="15" x14ac:dyDescent="0.25">
      <c r="A330" s="21" t="s">
        <v>288</v>
      </c>
      <c r="B330" s="22"/>
      <c r="C330" s="22"/>
      <c r="D330" s="22"/>
      <c r="E330" s="22"/>
      <c r="F330" s="22"/>
      <c r="G330" s="22"/>
      <c r="H330" s="22"/>
      <c r="I330" s="22"/>
      <c r="J330" s="22"/>
    </row>
    <row r="331" spans="1:10" ht="15" x14ac:dyDescent="0.25">
      <c r="A331" s="21" t="s">
        <v>229</v>
      </c>
      <c r="B331" s="22"/>
      <c r="C331" s="22"/>
      <c r="D331" s="22"/>
      <c r="E331" s="22"/>
      <c r="F331" s="22"/>
      <c r="G331" s="22"/>
      <c r="H331" s="22"/>
      <c r="I331" s="22"/>
      <c r="J331" s="22"/>
    </row>
    <row r="333" spans="1:10" ht="15" x14ac:dyDescent="0.25">
      <c r="A333" s="3" t="s">
        <v>2</v>
      </c>
      <c r="B333" s="3" t="s">
        <v>3</v>
      </c>
      <c r="C333" s="3" t="s">
        <v>4</v>
      </c>
      <c r="D333" s="3" t="s">
        <v>5</v>
      </c>
      <c r="E333" s="3" t="s">
        <v>6</v>
      </c>
      <c r="F333" s="7" t="s">
        <v>7</v>
      </c>
      <c r="G333" s="3" t="s">
        <v>8</v>
      </c>
      <c r="H333" s="7" t="s">
        <v>9</v>
      </c>
      <c r="I333" s="7" t="s">
        <v>10</v>
      </c>
      <c r="J333" s="3" t="s">
        <v>11</v>
      </c>
    </row>
    <row r="334" spans="1:10" ht="72.75" x14ac:dyDescent="0.2">
      <c r="A334" s="2" t="s">
        <v>230</v>
      </c>
      <c r="B334" s="9">
        <v>1</v>
      </c>
      <c r="C334" s="9">
        <v>3</v>
      </c>
      <c r="D334" s="10" t="s">
        <v>13</v>
      </c>
      <c r="E334" s="11" t="s">
        <v>289</v>
      </c>
      <c r="F334" s="12">
        <v>1</v>
      </c>
      <c r="G334" s="10" t="s">
        <v>100</v>
      </c>
      <c r="H334" s="13"/>
      <c r="I334" s="6"/>
      <c r="J334" s="10"/>
    </row>
    <row r="335" spans="1:10" ht="42.75" x14ac:dyDescent="0.2">
      <c r="A335" s="2" t="s">
        <v>230</v>
      </c>
      <c r="B335" s="9">
        <v>1</v>
      </c>
      <c r="C335" s="9">
        <v>3</v>
      </c>
      <c r="D335" s="10" t="s">
        <v>16</v>
      </c>
      <c r="E335" s="11" t="s">
        <v>290</v>
      </c>
      <c r="F335" s="12">
        <v>1</v>
      </c>
      <c r="G335" s="10" t="s">
        <v>100</v>
      </c>
      <c r="H335" s="13"/>
      <c r="I335" s="6"/>
      <c r="J335" s="10"/>
    </row>
    <row r="336" spans="1:10" ht="72.75" x14ac:dyDescent="0.2">
      <c r="A336" s="2" t="s">
        <v>230</v>
      </c>
      <c r="B336" s="9">
        <v>1</v>
      </c>
      <c r="C336" s="9">
        <v>3</v>
      </c>
      <c r="D336" s="10" t="s">
        <v>18</v>
      </c>
      <c r="E336" s="11" t="s">
        <v>291</v>
      </c>
      <c r="F336" s="12">
        <v>1</v>
      </c>
      <c r="G336" s="10" t="s">
        <v>100</v>
      </c>
      <c r="H336" s="13"/>
      <c r="I336" s="6"/>
      <c r="J336" s="10"/>
    </row>
    <row r="337" spans="1:10" ht="42.75" x14ac:dyDescent="0.2">
      <c r="A337" s="2" t="s">
        <v>230</v>
      </c>
      <c r="B337" s="9">
        <v>1</v>
      </c>
      <c r="C337" s="9">
        <v>3</v>
      </c>
      <c r="D337" s="10" t="s">
        <v>20</v>
      </c>
      <c r="E337" s="11" t="s">
        <v>292</v>
      </c>
      <c r="F337" s="12">
        <v>1</v>
      </c>
      <c r="G337" s="10" t="s">
        <v>100</v>
      </c>
      <c r="H337" s="13"/>
      <c r="I337" s="13"/>
      <c r="J337" s="10"/>
    </row>
    <row r="338" spans="1:10" ht="44.25" x14ac:dyDescent="0.2">
      <c r="A338" s="2" t="s">
        <v>230</v>
      </c>
      <c r="B338" s="9">
        <v>1</v>
      </c>
      <c r="C338" s="9">
        <v>3</v>
      </c>
      <c r="D338" s="10" t="s">
        <v>22</v>
      </c>
      <c r="E338" s="11" t="s">
        <v>293</v>
      </c>
      <c r="F338" s="12">
        <v>1</v>
      </c>
      <c r="G338" s="10" t="s">
        <v>100</v>
      </c>
      <c r="H338" s="13"/>
      <c r="I338" s="13"/>
      <c r="J338" s="10"/>
    </row>
    <row r="339" spans="1:10" x14ac:dyDescent="0.2">
      <c r="A339" s="1" t="s">
        <v>294</v>
      </c>
      <c r="B339" s="1"/>
      <c r="C339" s="1"/>
      <c r="D339" s="1"/>
      <c r="E339" s="1"/>
      <c r="F339" s="1"/>
      <c r="G339" s="1"/>
      <c r="H339" s="1" t="s">
        <v>67</v>
      </c>
      <c r="I339" s="13">
        <f>I337+I338</f>
        <v>0</v>
      </c>
      <c r="J339" s="1"/>
    </row>
    <row r="347" spans="1:10" ht="15" x14ac:dyDescent="0.25">
      <c r="A347" s="3" t="s">
        <v>89</v>
      </c>
      <c r="B347" s="14"/>
      <c r="C347" s="14"/>
      <c r="D347" s="14"/>
      <c r="E347" s="14"/>
      <c r="F347" s="14"/>
      <c r="G347" s="14"/>
      <c r="H347" s="14"/>
      <c r="I347" s="7" t="s">
        <v>90</v>
      </c>
    </row>
    <row r="348" spans="1:10" x14ac:dyDescent="0.2">
      <c r="A348" s="15" t="s">
        <v>295</v>
      </c>
      <c r="I348" s="16">
        <f>I294</f>
        <v>0</v>
      </c>
    </row>
    <row r="349" spans="1:10" x14ac:dyDescent="0.2">
      <c r="A349" s="15" t="s">
        <v>296</v>
      </c>
      <c r="I349" s="16">
        <f>I327</f>
        <v>0</v>
      </c>
    </row>
    <row r="350" spans="1:10" x14ac:dyDescent="0.2">
      <c r="A350" s="15" t="s">
        <v>297</v>
      </c>
      <c r="I350" s="16">
        <f>I339</f>
        <v>0</v>
      </c>
    </row>
    <row r="351" spans="1:10" x14ac:dyDescent="0.2">
      <c r="A351" s="15"/>
      <c r="I351" s="15"/>
    </row>
    <row r="352" spans="1:10" x14ac:dyDescent="0.2">
      <c r="A352" s="17"/>
      <c r="B352" s="18"/>
      <c r="C352" s="18"/>
      <c r="D352" s="18"/>
      <c r="E352" s="18"/>
      <c r="F352" s="18"/>
      <c r="G352" s="18"/>
      <c r="H352" s="18"/>
      <c r="I352" s="17"/>
    </row>
    <row r="353" spans="1:10" x14ac:dyDescent="0.2">
      <c r="H353" s="4" t="s">
        <v>95</v>
      </c>
      <c r="I353" s="13">
        <f>SUM(I348:I352)</f>
        <v>0</v>
      </c>
    </row>
    <row r="357" spans="1:10" ht="15" x14ac:dyDescent="0.25">
      <c r="A357" s="21" t="s">
        <v>298</v>
      </c>
      <c r="B357" s="22"/>
      <c r="C357" s="22"/>
      <c r="D357" s="22"/>
      <c r="E357" s="22"/>
      <c r="F357" s="22"/>
      <c r="G357" s="22"/>
      <c r="H357" s="22"/>
      <c r="I357" s="22"/>
      <c r="J357" s="22"/>
    </row>
    <row r="358" spans="1:10" ht="15" x14ac:dyDescent="0.25">
      <c r="A358" s="21" t="s">
        <v>299</v>
      </c>
      <c r="B358" s="22"/>
      <c r="C358" s="22"/>
      <c r="D358" s="22"/>
      <c r="E358" s="22"/>
      <c r="F358" s="22"/>
      <c r="G358" s="22"/>
      <c r="H358" s="22"/>
      <c r="I358" s="22"/>
      <c r="J358" s="22"/>
    </row>
    <row r="360" spans="1:10" ht="15" x14ac:dyDescent="0.25">
      <c r="A360" s="3" t="s">
        <v>2</v>
      </c>
      <c r="B360" s="3" t="s">
        <v>3</v>
      </c>
      <c r="C360" s="3" t="s">
        <v>4</v>
      </c>
      <c r="D360" s="3" t="s">
        <v>5</v>
      </c>
      <c r="E360" s="3" t="s">
        <v>6</v>
      </c>
      <c r="F360" s="7" t="s">
        <v>7</v>
      </c>
      <c r="G360" s="3" t="s">
        <v>8</v>
      </c>
      <c r="H360" s="7" t="s">
        <v>9</v>
      </c>
      <c r="I360" s="7" t="s">
        <v>10</v>
      </c>
      <c r="J360" s="3" t="s">
        <v>11</v>
      </c>
    </row>
    <row r="361" spans="1:10" ht="44.25" x14ac:dyDescent="0.2">
      <c r="A361" s="2" t="s">
        <v>300</v>
      </c>
      <c r="B361" s="9">
        <v>1</v>
      </c>
      <c r="C361" s="9">
        <v>1</v>
      </c>
      <c r="D361" s="10" t="s">
        <v>13</v>
      </c>
      <c r="E361" s="11" t="s">
        <v>301</v>
      </c>
      <c r="F361" s="12">
        <v>0</v>
      </c>
      <c r="G361" s="10"/>
      <c r="H361" s="13"/>
      <c r="I361" s="6"/>
      <c r="J361" s="10"/>
    </row>
    <row r="362" spans="1:10" ht="114" x14ac:dyDescent="0.2">
      <c r="A362" s="2" t="s">
        <v>300</v>
      </c>
      <c r="B362" s="9">
        <v>1</v>
      </c>
      <c r="C362" s="9">
        <v>1</v>
      </c>
      <c r="D362" s="10" t="s">
        <v>16</v>
      </c>
      <c r="E362" s="11" t="s">
        <v>302</v>
      </c>
      <c r="F362" s="12">
        <v>0</v>
      </c>
      <c r="G362" s="10"/>
      <c r="H362" s="13"/>
      <c r="I362" s="6"/>
      <c r="J362" s="10"/>
    </row>
    <row r="363" spans="1:10" x14ac:dyDescent="0.2">
      <c r="A363" s="2" t="s">
        <v>300</v>
      </c>
      <c r="B363" s="9">
        <v>1</v>
      </c>
      <c r="C363" s="9">
        <v>1</v>
      </c>
      <c r="D363" s="10" t="s">
        <v>18</v>
      </c>
      <c r="E363" s="11" t="s">
        <v>303</v>
      </c>
      <c r="F363" s="12">
        <v>3421</v>
      </c>
      <c r="G363" s="10" t="s">
        <v>109</v>
      </c>
      <c r="H363" s="13"/>
      <c r="I363" s="13"/>
      <c r="J363" s="10"/>
    </row>
    <row r="364" spans="1:10" x14ac:dyDescent="0.2">
      <c r="A364" s="2" t="s">
        <v>300</v>
      </c>
      <c r="B364" s="9">
        <v>1</v>
      </c>
      <c r="C364" s="9">
        <v>1</v>
      </c>
      <c r="D364" s="10" t="s">
        <v>20</v>
      </c>
      <c r="E364" s="11" t="s">
        <v>304</v>
      </c>
      <c r="F364" s="12">
        <v>608</v>
      </c>
      <c r="G364" s="10" t="s">
        <v>83</v>
      </c>
      <c r="H364" s="13"/>
      <c r="I364" s="13"/>
      <c r="J364" s="10"/>
    </row>
    <row r="365" spans="1:10" ht="42.75" x14ac:dyDescent="0.2">
      <c r="A365" s="2" t="s">
        <v>300</v>
      </c>
      <c r="B365" s="9">
        <v>1</v>
      </c>
      <c r="C365" s="9">
        <v>1</v>
      </c>
      <c r="D365" s="10" t="s">
        <v>22</v>
      </c>
      <c r="E365" s="11" t="s">
        <v>305</v>
      </c>
      <c r="F365" s="12">
        <v>6986</v>
      </c>
      <c r="G365" s="10" t="s">
        <v>124</v>
      </c>
      <c r="H365" s="13"/>
      <c r="I365" s="13"/>
      <c r="J365" s="10"/>
    </row>
    <row r="366" spans="1:10" x14ac:dyDescent="0.2">
      <c r="A366" s="2" t="s">
        <v>300</v>
      </c>
      <c r="B366" s="9">
        <v>1</v>
      </c>
      <c r="C366" s="9">
        <v>1</v>
      </c>
      <c r="D366" s="10" t="s">
        <v>24</v>
      </c>
      <c r="E366" s="11" t="s">
        <v>306</v>
      </c>
      <c r="F366" s="12">
        <v>68</v>
      </c>
      <c r="G366" s="10" t="s">
        <v>83</v>
      </c>
      <c r="H366" s="13"/>
      <c r="I366" s="13"/>
      <c r="J366" s="10"/>
    </row>
    <row r="367" spans="1:10" x14ac:dyDescent="0.2">
      <c r="A367" s="2" t="s">
        <v>300</v>
      </c>
      <c r="B367" s="9">
        <v>1</v>
      </c>
      <c r="C367" s="9">
        <v>1</v>
      </c>
      <c r="D367" s="10" t="s">
        <v>27</v>
      </c>
      <c r="E367" s="11" t="s">
        <v>307</v>
      </c>
      <c r="F367" s="12">
        <v>46</v>
      </c>
      <c r="G367" s="10" t="s">
        <v>124</v>
      </c>
      <c r="H367" s="13"/>
      <c r="I367" s="13"/>
      <c r="J367" s="10"/>
    </row>
    <row r="368" spans="1:10" x14ac:dyDescent="0.2">
      <c r="A368" s="2" t="s">
        <v>300</v>
      </c>
      <c r="B368" s="9">
        <v>1</v>
      </c>
      <c r="C368" s="9">
        <v>1</v>
      </c>
      <c r="D368" s="10" t="s">
        <v>29</v>
      </c>
      <c r="E368" s="11" t="s">
        <v>308</v>
      </c>
      <c r="F368" s="12">
        <v>1</v>
      </c>
      <c r="G368" s="10" t="s">
        <v>100</v>
      </c>
      <c r="H368" s="13"/>
      <c r="I368" s="6"/>
      <c r="J368" s="10"/>
    </row>
    <row r="369" spans="1:10" x14ac:dyDescent="0.2">
      <c r="A369" s="2" t="s">
        <v>300</v>
      </c>
      <c r="B369" s="9">
        <v>1</v>
      </c>
      <c r="C369" s="9">
        <v>1</v>
      </c>
      <c r="D369" s="10" t="s">
        <v>309</v>
      </c>
      <c r="E369" s="11" t="s">
        <v>310</v>
      </c>
      <c r="F369" s="12">
        <v>1</v>
      </c>
      <c r="G369" s="10" t="s">
        <v>100</v>
      </c>
      <c r="H369" s="13"/>
      <c r="I369" s="13"/>
      <c r="J369" s="10"/>
    </row>
    <row r="370" spans="1:10" x14ac:dyDescent="0.2">
      <c r="A370" s="2" t="s">
        <v>300</v>
      </c>
      <c r="B370" s="9">
        <v>1</v>
      </c>
      <c r="C370" s="9">
        <v>1</v>
      </c>
      <c r="D370" s="10" t="s">
        <v>32</v>
      </c>
      <c r="E370" s="11" t="s">
        <v>311</v>
      </c>
      <c r="F370" s="12">
        <v>0</v>
      </c>
      <c r="G370" s="10" t="s">
        <v>109</v>
      </c>
      <c r="H370" s="13"/>
      <c r="I370" s="13"/>
      <c r="J370" s="10"/>
    </row>
    <row r="371" spans="1:10" ht="104.25" x14ac:dyDescent="0.2">
      <c r="A371" s="2" t="s">
        <v>300</v>
      </c>
      <c r="B371" s="9">
        <v>1</v>
      </c>
      <c r="C371" s="9">
        <v>1</v>
      </c>
      <c r="D371" s="10" t="s">
        <v>33</v>
      </c>
      <c r="E371" s="11" t="s">
        <v>312</v>
      </c>
      <c r="F371" s="12">
        <v>513</v>
      </c>
      <c r="G371" s="10" t="s">
        <v>79</v>
      </c>
      <c r="H371" s="13"/>
      <c r="I371" s="13"/>
      <c r="J371" s="10"/>
    </row>
    <row r="372" spans="1:10" x14ac:dyDescent="0.2">
      <c r="A372" s="2" t="s">
        <v>300</v>
      </c>
      <c r="B372" s="9">
        <v>1</v>
      </c>
      <c r="C372" s="9">
        <v>1</v>
      </c>
      <c r="D372" s="10" t="s">
        <v>34</v>
      </c>
      <c r="E372" s="11" t="s">
        <v>313</v>
      </c>
      <c r="F372" s="12">
        <v>475</v>
      </c>
      <c r="G372" s="10" t="s">
        <v>83</v>
      </c>
      <c r="H372" s="13"/>
      <c r="I372" s="13"/>
      <c r="J372" s="10"/>
    </row>
    <row r="373" spans="1:10" ht="28.5" x14ac:dyDescent="0.2">
      <c r="A373" s="2" t="s">
        <v>300</v>
      </c>
      <c r="B373" s="9">
        <v>1</v>
      </c>
      <c r="C373" s="9">
        <v>1</v>
      </c>
      <c r="D373" s="10" t="s">
        <v>35</v>
      </c>
      <c r="E373" s="11" t="s">
        <v>314</v>
      </c>
      <c r="F373" s="12">
        <v>1</v>
      </c>
      <c r="G373" s="10" t="s">
        <v>79</v>
      </c>
      <c r="H373" s="13"/>
      <c r="I373" s="13"/>
      <c r="J373" s="10"/>
    </row>
    <row r="374" spans="1:10" x14ac:dyDescent="0.2">
      <c r="A374" s="2" t="s">
        <v>300</v>
      </c>
      <c r="B374" s="9">
        <v>1</v>
      </c>
      <c r="C374" s="9">
        <v>1</v>
      </c>
      <c r="D374" s="10" t="s">
        <v>36</v>
      </c>
      <c r="E374" s="11" t="s">
        <v>315</v>
      </c>
      <c r="F374" s="12">
        <v>1</v>
      </c>
      <c r="G374" s="10" t="s">
        <v>79</v>
      </c>
      <c r="H374" s="13"/>
      <c r="I374" s="13"/>
      <c r="J374" s="10"/>
    </row>
    <row r="375" spans="1:10" x14ac:dyDescent="0.2">
      <c r="A375" s="2" t="s">
        <v>300</v>
      </c>
      <c r="B375" s="9">
        <v>1</v>
      </c>
      <c r="C375" s="9">
        <v>1</v>
      </c>
      <c r="D375" s="10" t="s">
        <v>40</v>
      </c>
      <c r="E375" s="11" t="s">
        <v>316</v>
      </c>
      <c r="F375" s="12">
        <v>1</v>
      </c>
      <c r="G375" s="10" t="s">
        <v>127</v>
      </c>
      <c r="H375" s="13"/>
      <c r="I375" s="13"/>
      <c r="J375" s="10"/>
    </row>
    <row r="376" spans="1:10" ht="44.25" x14ac:dyDescent="0.2">
      <c r="A376" s="2" t="s">
        <v>300</v>
      </c>
      <c r="B376" s="9">
        <v>1</v>
      </c>
      <c r="C376" s="9">
        <v>1</v>
      </c>
      <c r="D376" s="10" t="s">
        <v>42</v>
      </c>
      <c r="E376" s="11" t="s">
        <v>317</v>
      </c>
      <c r="F376" s="12">
        <v>977.99999999999989</v>
      </c>
      <c r="G376" s="10" t="s">
        <v>83</v>
      </c>
      <c r="H376" s="13"/>
      <c r="I376" s="13"/>
      <c r="J376" s="10"/>
    </row>
    <row r="377" spans="1:10" x14ac:dyDescent="0.2">
      <c r="A377" s="2" t="s">
        <v>300</v>
      </c>
      <c r="B377" s="9">
        <v>1</v>
      </c>
      <c r="C377" s="9">
        <v>1</v>
      </c>
      <c r="D377" s="10" t="s">
        <v>44</v>
      </c>
      <c r="E377" s="11" t="s">
        <v>318</v>
      </c>
      <c r="F377" s="12">
        <v>27</v>
      </c>
      <c r="G377" s="10" t="s">
        <v>83</v>
      </c>
      <c r="H377" s="13"/>
      <c r="I377" s="13"/>
      <c r="J377" s="10"/>
    </row>
    <row r="378" spans="1:10" ht="73.5" x14ac:dyDescent="0.2">
      <c r="A378" s="2" t="s">
        <v>300</v>
      </c>
      <c r="B378" s="9">
        <v>1</v>
      </c>
      <c r="C378" s="9">
        <v>1</v>
      </c>
      <c r="D378" s="10" t="s">
        <v>46</v>
      </c>
      <c r="E378" s="11" t="s">
        <v>319</v>
      </c>
      <c r="F378" s="12">
        <v>10.26</v>
      </c>
      <c r="G378" s="10" t="s">
        <v>169</v>
      </c>
      <c r="H378" s="13"/>
      <c r="I378" s="6"/>
      <c r="J378" s="10"/>
    </row>
    <row r="379" spans="1:10" ht="28.5" x14ac:dyDescent="0.2">
      <c r="A379" s="2" t="s">
        <v>300</v>
      </c>
      <c r="B379" s="9">
        <v>1</v>
      </c>
      <c r="C379" s="9">
        <v>1</v>
      </c>
      <c r="D379" s="10" t="s">
        <v>47</v>
      </c>
      <c r="E379" s="11" t="s">
        <v>320</v>
      </c>
      <c r="F379" s="12">
        <v>4.88</v>
      </c>
      <c r="G379" s="10" t="s">
        <v>169</v>
      </c>
      <c r="H379" s="13"/>
      <c r="I379" s="13"/>
      <c r="J379" s="10"/>
    </row>
    <row r="380" spans="1:10" ht="28.5" x14ac:dyDescent="0.2">
      <c r="A380" s="2" t="s">
        <v>300</v>
      </c>
      <c r="B380" s="9">
        <v>1</v>
      </c>
      <c r="C380" s="9">
        <v>1</v>
      </c>
      <c r="D380" s="10" t="s">
        <v>48</v>
      </c>
      <c r="E380" s="11" t="s">
        <v>321</v>
      </c>
      <c r="F380" s="12">
        <v>0.75</v>
      </c>
      <c r="G380" s="10" t="s">
        <v>169</v>
      </c>
      <c r="H380" s="13"/>
      <c r="I380" s="13"/>
      <c r="J380" s="10"/>
    </row>
    <row r="381" spans="1:10" x14ac:dyDescent="0.2">
      <c r="A381" s="2" t="s">
        <v>300</v>
      </c>
      <c r="B381" s="9">
        <v>1</v>
      </c>
      <c r="C381" s="9">
        <v>1</v>
      </c>
      <c r="D381" s="10" t="s">
        <v>50</v>
      </c>
      <c r="E381" s="11" t="s">
        <v>322</v>
      </c>
      <c r="F381" s="12">
        <v>41</v>
      </c>
      <c r="G381" s="10" t="s">
        <v>109</v>
      </c>
      <c r="H381" s="13"/>
      <c r="I381" s="13"/>
      <c r="J381" s="10"/>
    </row>
    <row r="382" spans="1:10" ht="44.25" x14ac:dyDescent="0.2">
      <c r="A382" s="2" t="s">
        <v>300</v>
      </c>
      <c r="B382" s="9">
        <v>1</v>
      </c>
      <c r="C382" s="9">
        <v>1</v>
      </c>
      <c r="D382" s="10" t="s">
        <v>52</v>
      </c>
      <c r="E382" s="11" t="s">
        <v>323</v>
      </c>
      <c r="F382" s="12">
        <v>3421</v>
      </c>
      <c r="G382" s="10" t="s">
        <v>109</v>
      </c>
      <c r="H382" s="13"/>
      <c r="I382" s="13"/>
      <c r="J382" s="10"/>
    </row>
    <row r="383" spans="1:10" x14ac:dyDescent="0.2">
      <c r="A383" s="2" t="s">
        <v>300</v>
      </c>
      <c r="B383" s="9">
        <v>1</v>
      </c>
      <c r="C383" s="9">
        <v>1</v>
      </c>
      <c r="D383" s="10" t="s">
        <v>52</v>
      </c>
      <c r="E383" s="11" t="s">
        <v>324</v>
      </c>
      <c r="F383" s="12">
        <v>608</v>
      </c>
      <c r="G383" s="10" t="s">
        <v>83</v>
      </c>
      <c r="H383" s="13"/>
      <c r="I383" s="13"/>
      <c r="J383" s="10"/>
    </row>
    <row r="384" spans="1:10" ht="28.5" x14ac:dyDescent="0.2">
      <c r="A384" s="2" t="s">
        <v>300</v>
      </c>
      <c r="B384" s="9">
        <v>1</v>
      </c>
      <c r="C384" s="9">
        <v>1</v>
      </c>
      <c r="D384" s="10" t="s">
        <v>54</v>
      </c>
      <c r="E384" s="11" t="s">
        <v>325</v>
      </c>
      <c r="F384" s="12">
        <v>3421</v>
      </c>
      <c r="G384" s="10" t="s">
        <v>109</v>
      </c>
      <c r="H384" s="13"/>
      <c r="I384" s="13"/>
      <c r="J384" s="10"/>
    </row>
    <row r="385" spans="1:10" x14ac:dyDescent="0.2">
      <c r="A385" s="1" t="s">
        <v>326</v>
      </c>
      <c r="B385" s="1"/>
      <c r="C385" s="1"/>
      <c r="D385" s="1"/>
      <c r="E385" s="1"/>
      <c r="F385" s="1"/>
      <c r="G385" s="1"/>
      <c r="H385" s="1" t="s">
        <v>67</v>
      </c>
      <c r="I385" s="13">
        <f>I363+I364+I365+I366+I367+I369+I370+I371+I372+I373+I374+I375+I376+I377+I379+I380+I381+I382+I383+I384</f>
        <v>0</v>
      </c>
      <c r="J385" s="1"/>
    </row>
    <row r="388" spans="1:10" ht="15" x14ac:dyDescent="0.25">
      <c r="A388" s="21" t="s">
        <v>327</v>
      </c>
      <c r="B388" s="22"/>
      <c r="C388" s="22"/>
      <c r="D388" s="22"/>
      <c r="E388" s="22"/>
      <c r="F388" s="22"/>
      <c r="G388" s="22"/>
      <c r="H388" s="22"/>
      <c r="I388" s="22"/>
      <c r="J388" s="22"/>
    </row>
    <row r="389" spans="1:10" ht="15" x14ac:dyDescent="0.25">
      <c r="A389" s="21" t="s">
        <v>299</v>
      </c>
      <c r="B389" s="22"/>
      <c r="C389" s="22"/>
      <c r="D389" s="22"/>
      <c r="E389" s="22"/>
      <c r="F389" s="22"/>
      <c r="G389" s="22"/>
      <c r="H389" s="22"/>
      <c r="I389" s="22"/>
      <c r="J389" s="22"/>
    </row>
    <row r="391" spans="1:10" ht="15" x14ac:dyDescent="0.25">
      <c r="A391" s="3" t="s">
        <v>2</v>
      </c>
      <c r="B391" s="3" t="s">
        <v>3</v>
      </c>
      <c r="C391" s="3" t="s">
        <v>4</v>
      </c>
      <c r="D391" s="3" t="s">
        <v>5</v>
      </c>
      <c r="E391" s="3" t="s">
        <v>6</v>
      </c>
      <c r="F391" s="7" t="s">
        <v>7</v>
      </c>
      <c r="G391" s="3" t="s">
        <v>8</v>
      </c>
      <c r="H391" s="7" t="s">
        <v>9</v>
      </c>
      <c r="I391" s="7" t="s">
        <v>10</v>
      </c>
      <c r="J391" s="3" t="s">
        <v>11</v>
      </c>
    </row>
    <row r="392" spans="1:10" ht="44.25" x14ac:dyDescent="0.2">
      <c r="A392" s="2" t="s">
        <v>300</v>
      </c>
      <c r="B392" s="9">
        <v>1</v>
      </c>
      <c r="C392" s="9">
        <v>2</v>
      </c>
      <c r="D392" s="10" t="s">
        <v>13</v>
      </c>
      <c r="E392" s="11" t="s">
        <v>328</v>
      </c>
      <c r="F392" s="12">
        <v>3421</v>
      </c>
      <c r="G392" s="10" t="s">
        <v>109</v>
      </c>
      <c r="H392" s="13"/>
      <c r="I392" s="6"/>
      <c r="J392" s="10"/>
    </row>
    <row r="393" spans="1:10" x14ac:dyDescent="0.2">
      <c r="A393" s="2" t="s">
        <v>300</v>
      </c>
      <c r="B393" s="9">
        <v>1</v>
      </c>
      <c r="C393" s="9">
        <v>2</v>
      </c>
      <c r="D393" s="10" t="s">
        <v>16</v>
      </c>
      <c r="E393" s="11" t="s">
        <v>178</v>
      </c>
      <c r="F393" s="12">
        <v>475</v>
      </c>
      <c r="G393" s="10" t="s">
        <v>83</v>
      </c>
      <c r="H393" s="13"/>
      <c r="I393" s="6"/>
      <c r="J393" s="10"/>
    </row>
    <row r="394" spans="1:10" x14ac:dyDescent="0.2">
      <c r="A394" s="2" t="s">
        <v>300</v>
      </c>
      <c r="B394" s="9">
        <v>1</v>
      </c>
      <c r="C394" s="9">
        <v>2</v>
      </c>
      <c r="D394" s="10" t="s">
        <v>18</v>
      </c>
      <c r="E394" s="11" t="s">
        <v>329</v>
      </c>
      <c r="F394" s="12">
        <v>4</v>
      </c>
      <c r="G394" s="10" t="s">
        <v>109</v>
      </c>
      <c r="H394" s="13"/>
      <c r="I394" s="6"/>
      <c r="J394" s="10"/>
    </row>
    <row r="395" spans="1:10" x14ac:dyDescent="0.2">
      <c r="A395" s="2" t="s">
        <v>300</v>
      </c>
      <c r="B395" s="9">
        <v>1</v>
      </c>
      <c r="C395" s="9">
        <v>2</v>
      </c>
      <c r="D395" s="10" t="s">
        <v>20</v>
      </c>
      <c r="E395" s="11" t="s">
        <v>179</v>
      </c>
      <c r="F395" s="12">
        <v>977.99999999999989</v>
      </c>
      <c r="G395" s="10" t="s">
        <v>83</v>
      </c>
      <c r="H395" s="13"/>
      <c r="I395" s="6"/>
      <c r="J395" s="10"/>
    </row>
    <row r="396" spans="1:10" ht="132.75" x14ac:dyDescent="0.2">
      <c r="A396" s="2" t="s">
        <v>300</v>
      </c>
      <c r="B396" s="9">
        <v>1</v>
      </c>
      <c r="C396" s="9">
        <v>2</v>
      </c>
      <c r="D396" s="10" t="s">
        <v>22</v>
      </c>
      <c r="E396" s="11" t="s">
        <v>330</v>
      </c>
      <c r="F396" s="12">
        <v>1087</v>
      </c>
      <c r="G396" s="10" t="s">
        <v>83</v>
      </c>
      <c r="H396" s="13"/>
      <c r="I396" s="13"/>
      <c r="J396" s="10"/>
    </row>
    <row r="397" spans="1:10" ht="102.75" x14ac:dyDescent="0.2">
      <c r="A397" s="2" t="s">
        <v>300</v>
      </c>
      <c r="B397" s="9">
        <v>1</v>
      </c>
      <c r="C397" s="9">
        <v>2</v>
      </c>
      <c r="D397" s="10" t="s">
        <v>24</v>
      </c>
      <c r="E397" s="11" t="s">
        <v>331</v>
      </c>
      <c r="F397" s="12">
        <v>613</v>
      </c>
      <c r="G397" s="10" t="s">
        <v>83</v>
      </c>
      <c r="H397" s="13"/>
      <c r="I397" s="13"/>
      <c r="J397" s="10"/>
    </row>
    <row r="398" spans="1:10" ht="28.5" x14ac:dyDescent="0.2">
      <c r="A398" s="2" t="s">
        <v>300</v>
      </c>
      <c r="B398" s="9">
        <v>1</v>
      </c>
      <c r="C398" s="9">
        <v>2</v>
      </c>
      <c r="D398" s="10" t="s">
        <v>27</v>
      </c>
      <c r="E398" s="11" t="s">
        <v>332</v>
      </c>
      <c r="F398" s="12">
        <v>1645</v>
      </c>
      <c r="G398" s="10" t="s">
        <v>83</v>
      </c>
      <c r="H398" s="13"/>
      <c r="I398" s="13"/>
      <c r="J398" s="10"/>
    </row>
    <row r="399" spans="1:10" ht="147" x14ac:dyDescent="0.2">
      <c r="A399" s="2" t="s">
        <v>300</v>
      </c>
      <c r="B399" s="9">
        <v>1</v>
      </c>
      <c r="C399" s="9">
        <v>2</v>
      </c>
      <c r="D399" s="10" t="s">
        <v>29</v>
      </c>
      <c r="E399" s="11" t="s">
        <v>333</v>
      </c>
      <c r="F399" s="12">
        <v>0</v>
      </c>
      <c r="G399" s="10"/>
      <c r="H399" s="13"/>
      <c r="I399" s="6"/>
      <c r="J399" s="10"/>
    </row>
    <row r="400" spans="1:10" ht="28.5" x14ac:dyDescent="0.2">
      <c r="A400" s="2" t="s">
        <v>300</v>
      </c>
      <c r="B400" s="9">
        <v>1</v>
      </c>
      <c r="C400" s="9">
        <v>2</v>
      </c>
      <c r="D400" s="10" t="s">
        <v>32</v>
      </c>
      <c r="E400" s="11" t="s">
        <v>334</v>
      </c>
      <c r="F400" s="12">
        <v>4</v>
      </c>
      <c r="G400" s="10" t="s">
        <v>124</v>
      </c>
      <c r="H400" s="13"/>
      <c r="I400" s="13"/>
      <c r="J400" s="10"/>
    </row>
    <row r="401" spans="1:10" x14ac:dyDescent="0.2">
      <c r="A401" s="2" t="s">
        <v>300</v>
      </c>
      <c r="B401" s="9">
        <v>1</v>
      </c>
      <c r="C401" s="9">
        <v>2</v>
      </c>
      <c r="D401" s="10" t="s">
        <v>33</v>
      </c>
      <c r="E401" s="11" t="s">
        <v>335</v>
      </c>
      <c r="F401" s="12">
        <v>24</v>
      </c>
      <c r="G401" s="10" t="s">
        <v>124</v>
      </c>
      <c r="H401" s="13"/>
      <c r="I401" s="13"/>
      <c r="J401" s="10"/>
    </row>
    <row r="402" spans="1:10" x14ac:dyDescent="0.2">
      <c r="A402" s="2" t="s">
        <v>300</v>
      </c>
      <c r="B402" s="9">
        <v>1</v>
      </c>
      <c r="C402" s="9">
        <v>2</v>
      </c>
      <c r="D402" s="10" t="s">
        <v>34</v>
      </c>
      <c r="E402" s="11" t="s">
        <v>336</v>
      </c>
      <c r="F402" s="12">
        <v>4</v>
      </c>
      <c r="G402" s="10" t="s">
        <v>124</v>
      </c>
      <c r="H402" s="13"/>
      <c r="I402" s="13"/>
      <c r="J402" s="10"/>
    </row>
    <row r="403" spans="1:10" x14ac:dyDescent="0.2">
      <c r="A403" s="2" t="s">
        <v>300</v>
      </c>
      <c r="B403" s="9">
        <v>1</v>
      </c>
      <c r="C403" s="9">
        <v>2</v>
      </c>
      <c r="D403" s="10" t="s">
        <v>35</v>
      </c>
      <c r="E403" s="11" t="s">
        <v>337</v>
      </c>
      <c r="F403" s="12">
        <v>4</v>
      </c>
      <c r="G403" s="10" t="s">
        <v>124</v>
      </c>
      <c r="H403" s="13"/>
      <c r="I403" s="13"/>
      <c r="J403" s="10"/>
    </row>
    <row r="404" spans="1:10" x14ac:dyDescent="0.2">
      <c r="A404" s="2" t="s">
        <v>300</v>
      </c>
      <c r="B404" s="9">
        <v>1</v>
      </c>
      <c r="C404" s="9">
        <v>2</v>
      </c>
      <c r="D404" s="10" t="s">
        <v>36</v>
      </c>
      <c r="E404" s="11" t="s">
        <v>338</v>
      </c>
      <c r="F404" s="12">
        <v>8</v>
      </c>
      <c r="G404" s="10" t="s">
        <v>124</v>
      </c>
      <c r="H404" s="13"/>
      <c r="I404" s="13"/>
      <c r="J404" s="10"/>
    </row>
    <row r="405" spans="1:10" x14ac:dyDescent="0.2">
      <c r="A405" s="1" t="s">
        <v>339</v>
      </c>
      <c r="B405" s="1"/>
      <c r="C405" s="1"/>
      <c r="D405" s="1"/>
      <c r="E405" s="1"/>
      <c r="F405" s="1"/>
      <c r="G405" s="1"/>
      <c r="H405" s="1" t="s">
        <v>67</v>
      </c>
      <c r="I405" s="13">
        <f>I396+I397+I398+I400+I401+I402+I403+I404</f>
        <v>0</v>
      </c>
      <c r="J405" s="1"/>
    </row>
    <row r="413" spans="1:10" ht="15" x14ac:dyDescent="0.25">
      <c r="A413" s="3" t="s">
        <v>89</v>
      </c>
      <c r="B413" s="14"/>
      <c r="C413" s="14"/>
      <c r="D413" s="14"/>
      <c r="E413" s="14"/>
      <c r="F413" s="14"/>
      <c r="G413" s="14"/>
      <c r="H413" s="14"/>
      <c r="I413" s="7" t="s">
        <v>90</v>
      </c>
    </row>
    <row r="414" spans="1:10" x14ac:dyDescent="0.2">
      <c r="A414" s="15" t="s">
        <v>340</v>
      </c>
      <c r="I414" s="16">
        <f>I385</f>
        <v>0</v>
      </c>
    </row>
    <row r="415" spans="1:10" x14ac:dyDescent="0.2">
      <c r="A415" s="15" t="s">
        <v>341</v>
      </c>
      <c r="I415" s="16">
        <f>I405</f>
        <v>0</v>
      </c>
    </row>
    <row r="416" spans="1:10" x14ac:dyDescent="0.2">
      <c r="A416" s="15"/>
      <c r="I416" s="15"/>
    </row>
    <row r="417" spans="1:10" x14ac:dyDescent="0.2">
      <c r="A417" s="17"/>
      <c r="B417" s="18"/>
      <c r="C417" s="18"/>
      <c r="D417" s="18"/>
      <c r="E417" s="18"/>
      <c r="F417" s="18"/>
      <c r="G417" s="18"/>
      <c r="H417" s="18"/>
      <c r="I417" s="17"/>
    </row>
    <row r="418" spans="1:10" x14ac:dyDescent="0.2">
      <c r="H418" s="4" t="s">
        <v>95</v>
      </c>
      <c r="I418" s="13">
        <f>SUM(I414:I417)</f>
        <v>0</v>
      </c>
    </row>
    <row r="422" spans="1:10" ht="15" x14ac:dyDescent="0.25">
      <c r="A422" s="21" t="s">
        <v>342</v>
      </c>
      <c r="B422" s="22"/>
      <c r="C422" s="22"/>
      <c r="D422" s="22"/>
      <c r="E422" s="22"/>
      <c r="F422" s="22"/>
      <c r="G422" s="22"/>
      <c r="H422" s="22"/>
      <c r="I422" s="22"/>
      <c r="J422" s="22"/>
    </row>
    <row r="423" spans="1:10" ht="15" x14ac:dyDescent="0.25">
      <c r="A423" s="21" t="s">
        <v>343</v>
      </c>
      <c r="B423" s="22"/>
      <c r="C423" s="22"/>
      <c r="D423" s="22"/>
      <c r="E423" s="22"/>
      <c r="F423" s="22"/>
      <c r="G423" s="22"/>
      <c r="H423" s="22"/>
      <c r="I423" s="22"/>
      <c r="J423" s="22"/>
    </row>
    <row r="425" spans="1:10" ht="15" x14ac:dyDescent="0.25">
      <c r="A425" s="3" t="s">
        <v>2</v>
      </c>
      <c r="B425" s="3" t="s">
        <v>3</v>
      </c>
      <c r="C425" s="3" t="s">
        <v>4</v>
      </c>
      <c r="D425" s="3" t="s">
        <v>5</v>
      </c>
      <c r="E425" s="3" t="s">
        <v>6</v>
      </c>
      <c r="F425" s="7" t="s">
        <v>7</v>
      </c>
      <c r="G425" s="3" t="s">
        <v>8</v>
      </c>
      <c r="H425" s="7" t="s">
        <v>9</v>
      </c>
      <c r="I425" s="7" t="s">
        <v>10</v>
      </c>
      <c r="J425" s="3" t="s">
        <v>11</v>
      </c>
    </row>
    <row r="426" spans="1:10" ht="134.25" x14ac:dyDescent="0.2">
      <c r="A426" s="2" t="s">
        <v>344</v>
      </c>
      <c r="B426" s="9">
        <v>1</v>
      </c>
      <c r="C426" s="9">
        <v>1</v>
      </c>
      <c r="D426" s="10" t="s">
        <v>13</v>
      </c>
      <c r="E426" s="11" t="s">
        <v>345</v>
      </c>
      <c r="F426" s="12">
        <v>1</v>
      </c>
      <c r="G426" s="10" t="s">
        <v>100</v>
      </c>
      <c r="H426" s="13"/>
      <c r="I426" s="6"/>
      <c r="J426" s="10"/>
    </row>
    <row r="427" spans="1:10" ht="42.75" x14ac:dyDescent="0.2">
      <c r="A427" s="2" t="s">
        <v>344</v>
      </c>
      <c r="B427" s="9">
        <v>1</v>
      </c>
      <c r="C427" s="9">
        <v>1</v>
      </c>
      <c r="D427" s="10" t="s">
        <v>16</v>
      </c>
      <c r="E427" s="11" t="s">
        <v>346</v>
      </c>
      <c r="F427" s="12">
        <v>1092</v>
      </c>
      <c r="G427" s="10" t="s">
        <v>109</v>
      </c>
      <c r="H427" s="13"/>
      <c r="I427" s="13"/>
      <c r="J427" s="10"/>
    </row>
    <row r="428" spans="1:10" ht="28.5" x14ac:dyDescent="0.2">
      <c r="A428" s="2" t="s">
        <v>344</v>
      </c>
      <c r="B428" s="9">
        <v>1</v>
      </c>
      <c r="C428" s="9">
        <v>1</v>
      </c>
      <c r="D428" s="10" t="s">
        <v>18</v>
      </c>
      <c r="E428" s="11" t="s">
        <v>347</v>
      </c>
      <c r="F428" s="12">
        <v>290</v>
      </c>
      <c r="G428" s="10" t="s">
        <v>83</v>
      </c>
      <c r="H428" s="13"/>
      <c r="I428" s="13"/>
      <c r="J428" s="10"/>
    </row>
    <row r="429" spans="1:10" ht="28.5" x14ac:dyDescent="0.2">
      <c r="A429" s="2" t="s">
        <v>344</v>
      </c>
      <c r="B429" s="9">
        <v>1</v>
      </c>
      <c r="C429" s="9">
        <v>1</v>
      </c>
      <c r="D429" s="10" t="s">
        <v>22</v>
      </c>
      <c r="E429" s="11" t="s">
        <v>348</v>
      </c>
      <c r="F429" s="12">
        <v>20</v>
      </c>
      <c r="G429" s="10" t="s">
        <v>258</v>
      </c>
      <c r="H429" s="13"/>
      <c r="I429" s="13"/>
      <c r="J429" s="10"/>
    </row>
    <row r="430" spans="1:10" x14ac:dyDescent="0.2">
      <c r="A430" s="2" t="s">
        <v>344</v>
      </c>
      <c r="B430" s="9">
        <v>1</v>
      </c>
      <c r="C430" s="9">
        <v>1</v>
      </c>
      <c r="D430" s="10" t="s">
        <v>24</v>
      </c>
      <c r="E430" s="11" t="s">
        <v>311</v>
      </c>
      <c r="F430" s="12">
        <v>0</v>
      </c>
      <c r="G430" s="10" t="s">
        <v>109</v>
      </c>
      <c r="H430" s="13"/>
      <c r="I430" s="13"/>
      <c r="J430" s="10"/>
    </row>
    <row r="431" spans="1:10" ht="44.25" x14ac:dyDescent="0.2">
      <c r="A431" s="2" t="s">
        <v>344</v>
      </c>
      <c r="B431" s="9">
        <v>1</v>
      </c>
      <c r="C431" s="9">
        <v>1</v>
      </c>
      <c r="D431" s="10" t="s">
        <v>27</v>
      </c>
      <c r="E431" s="11" t="s">
        <v>349</v>
      </c>
      <c r="F431" s="12">
        <v>1</v>
      </c>
      <c r="G431" s="10" t="s">
        <v>100</v>
      </c>
      <c r="H431" s="13"/>
      <c r="I431" s="6"/>
      <c r="J431" s="10"/>
    </row>
    <row r="432" spans="1:10" x14ac:dyDescent="0.2">
      <c r="A432" s="2" t="s">
        <v>344</v>
      </c>
      <c r="B432" s="9">
        <v>1</v>
      </c>
      <c r="C432" s="9">
        <v>1</v>
      </c>
      <c r="D432" s="10" t="s">
        <v>29</v>
      </c>
      <c r="E432" s="11" t="s">
        <v>350</v>
      </c>
      <c r="F432" s="12">
        <v>40</v>
      </c>
      <c r="G432" s="10" t="s">
        <v>109</v>
      </c>
      <c r="H432" s="13"/>
      <c r="I432" s="13"/>
      <c r="J432" s="10"/>
    </row>
    <row r="433" spans="1:10" x14ac:dyDescent="0.2">
      <c r="A433" s="2" t="s">
        <v>344</v>
      </c>
      <c r="B433" s="9">
        <v>1</v>
      </c>
      <c r="C433" s="9">
        <v>1</v>
      </c>
      <c r="D433" s="10" t="s">
        <v>29</v>
      </c>
      <c r="E433" s="11" t="s">
        <v>351</v>
      </c>
      <c r="F433" s="12">
        <v>1</v>
      </c>
      <c r="G433" s="10" t="s">
        <v>100</v>
      </c>
      <c r="H433" s="13"/>
      <c r="I433" s="13"/>
      <c r="J433" s="10"/>
    </row>
    <row r="434" spans="1:10" ht="28.5" x14ac:dyDescent="0.2">
      <c r="A434" s="2" t="s">
        <v>344</v>
      </c>
      <c r="B434" s="9">
        <v>1</v>
      </c>
      <c r="C434" s="9">
        <v>1</v>
      </c>
      <c r="D434" s="10" t="s">
        <v>32</v>
      </c>
      <c r="E434" s="11" t="s">
        <v>352</v>
      </c>
      <c r="F434" s="12">
        <v>26</v>
      </c>
      <c r="G434" s="10" t="s">
        <v>83</v>
      </c>
      <c r="H434" s="13"/>
      <c r="I434" s="13"/>
      <c r="J434" s="10"/>
    </row>
    <row r="435" spans="1:10" x14ac:dyDescent="0.2">
      <c r="A435" s="2" t="s">
        <v>344</v>
      </c>
      <c r="B435" s="9">
        <v>1</v>
      </c>
      <c r="C435" s="9">
        <v>1</v>
      </c>
      <c r="D435" s="10" t="s">
        <v>33</v>
      </c>
      <c r="E435" s="11" t="s">
        <v>353</v>
      </c>
      <c r="F435" s="12">
        <v>2</v>
      </c>
      <c r="G435" s="10" t="s">
        <v>258</v>
      </c>
      <c r="H435" s="13"/>
      <c r="I435" s="13"/>
      <c r="J435" s="10"/>
    </row>
    <row r="436" spans="1:10" ht="44.25" x14ac:dyDescent="0.2">
      <c r="A436" s="2" t="s">
        <v>344</v>
      </c>
      <c r="B436" s="9">
        <v>1</v>
      </c>
      <c r="C436" s="9">
        <v>1</v>
      </c>
      <c r="D436" s="10" t="s">
        <v>34</v>
      </c>
      <c r="E436" s="11" t="s">
        <v>354</v>
      </c>
      <c r="F436" s="12">
        <v>1</v>
      </c>
      <c r="G436" s="10" t="s">
        <v>100</v>
      </c>
      <c r="H436" s="13"/>
      <c r="I436" s="6"/>
      <c r="J436" s="10"/>
    </row>
    <row r="437" spans="1:10" x14ac:dyDescent="0.2">
      <c r="A437" s="2" t="s">
        <v>344</v>
      </c>
      <c r="B437" s="9">
        <v>1</v>
      </c>
      <c r="C437" s="9">
        <v>1</v>
      </c>
      <c r="D437" s="10" t="s">
        <v>35</v>
      </c>
      <c r="E437" s="11" t="s">
        <v>355</v>
      </c>
      <c r="F437" s="12">
        <v>72</v>
      </c>
      <c r="G437" s="10" t="s">
        <v>109</v>
      </c>
      <c r="H437" s="13"/>
      <c r="I437" s="13"/>
      <c r="J437" s="10"/>
    </row>
    <row r="438" spans="1:10" x14ac:dyDescent="0.2">
      <c r="A438" s="2" t="s">
        <v>344</v>
      </c>
      <c r="B438" s="9">
        <v>1</v>
      </c>
      <c r="C438" s="9">
        <v>1</v>
      </c>
      <c r="D438" s="10" t="s">
        <v>35</v>
      </c>
      <c r="E438" s="11" t="s">
        <v>351</v>
      </c>
      <c r="F438" s="12">
        <v>1</v>
      </c>
      <c r="G438" s="10" t="s">
        <v>100</v>
      </c>
      <c r="H438" s="13"/>
      <c r="I438" s="13"/>
      <c r="J438" s="10"/>
    </row>
    <row r="439" spans="1:10" ht="28.5" x14ac:dyDescent="0.2">
      <c r="A439" s="2" t="s">
        <v>344</v>
      </c>
      <c r="B439" s="9">
        <v>1</v>
      </c>
      <c r="C439" s="9">
        <v>1</v>
      </c>
      <c r="D439" s="10" t="s">
        <v>36</v>
      </c>
      <c r="E439" s="11" t="s">
        <v>352</v>
      </c>
      <c r="F439" s="12">
        <v>53</v>
      </c>
      <c r="G439" s="10" t="s">
        <v>83</v>
      </c>
      <c r="H439" s="13"/>
      <c r="I439" s="13"/>
      <c r="J439" s="10"/>
    </row>
    <row r="440" spans="1:10" x14ac:dyDescent="0.2">
      <c r="A440" s="2" t="s">
        <v>344</v>
      </c>
      <c r="B440" s="9">
        <v>1</v>
      </c>
      <c r="C440" s="9">
        <v>1</v>
      </c>
      <c r="D440" s="10" t="s">
        <v>40</v>
      </c>
      <c r="E440" s="11" t="s">
        <v>353</v>
      </c>
      <c r="F440" s="12">
        <v>2</v>
      </c>
      <c r="G440" s="10" t="s">
        <v>258</v>
      </c>
      <c r="H440" s="13"/>
      <c r="I440" s="13"/>
      <c r="J440" s="10"/>
    </row>
    <row r="441" spans="1:10" ht="44.25" x14ac:dyDescent="0.2">
      <c r="A441" s="2" t="s">
        <v>344</v>
      </c>
      <c r="B441" s="9">
        <v>1</v>
      </c>
      <c r="C441" s="9">
        <v>1</v>
      </c>
      <c r="D441" s="10" t="s">
        <v>42</v>
      </c>
      <c r="E441" s="11" t="s">
        <v>356</v>
      </c>
      <c r="F441" s="12">
        <v>126</v>
      </c>
      <c r="G441" s="10" t="s">
        <v>79</v>
      </c>
      <c r="H441" s="13"/>
      <c r="I441" s="13"/>
      <c r="J441" s="10"/>
    </row>
    <row r="442" spans="1:10" x14ac:dyDescent="0.2">
      <c r="A442" s="2" t="s">
        <v>344</v>
      </c>
      <c r="B442" s="9">
        <v>1</v>
      </c>
      <c r="C442" s="9">
        <v>1</v>
      </c>
      <c r="D442" s="10" t="s">
        <v>44</v>
      </c>
      <c r="E442" s="11" t="s">
        <v>357</v>
      </c>
      <c r="F442" s="12">
        <v>2512.0000000000005</v>
      </c>
      <c r="G442" s="10" t="s">
        <v>358</v>
      </c>
      <c r="H442" s="13"/>
      <c r="I442" s="6"/>
      <c r="J442" s="10"/>
    </row>
    <row r="443" spans="1:10" ht="28.5" x14ac:dyDescent="0.2">
      <c r="A443" s="2" t="s">
        <v>344</v>
      </c>
      <c r="B443" s="9">
        <v>1</v>
      </c>
      <c r="C443" s="9">
        <v>1</v>
      </c>
      <c r="D443" s="10" t="s">
        <v>46</v>
      </c>
      <c r="E443" s="11" t="s">
        <v>359</v>
      </c>
      <c r="F443" s="12">
        <v>1.7500000000000002</v>
      </c>
      <c r="G443" s="10" t="s">
        <v>169</v>
      </c>
      <c r="H443" s="13"/>
      <c r="I443" s="13"/>
      <c r="J443" s="10"/>
    </row>
    <row r="444" spans="1:10" x14ac:dyDescent="0.2">
      <c r="A444" s="2" t="s">
        <v>344</v>
      </c>
      <c r="B444" s="9">
        <v>1</v>
      </c>
      <c r="C444" s="9">
        <v>1</v>
      </c>
      <c r="D444" s="10" t="s">
        <v>47</v>
      </c>
      <c r="E444" s="11" t="s">
        <v>360</v>
      </c>
      <c r="F444" s="12">
        <v>0.46</v>
      </c>
      <c r="G444" s="10" t="s">
        <v>169</v>
      </c>
      <c r="H444" s="13"/>
      <c r="I444" s="13"/>
      <c r="J444" s="10"/>
    </row>
    <row r="445" spans="1:10" x14ac:dyDescent="0.2">
      <c r="A445" s="2" t="s">
        <v>344</v>
      </c>
      <c r="B445" s="9">
        <v>1</v>
      </c>
      <c r="C445" s="9">
        <v>1</v>
      </c>
      <c r="D445" s="10" t="s">
        <v>48</v>
      </c>
      <c r="E445" s="11" t="s">
        <v>361</v>
      </c>
      <c r="F445" s="12">
        <v>1092</v>
      </c>
      <c r="G445" s="10" t="s">
        <v>109</v>
      </c>
      <c r="H445" s="13"/>
      <c r="I445" s="6"/>
      <c r="J445" s="10"/>
    </row>
    <row r="446" spans="1:10" x14ac:dyDescent="0.2">
      <c r="A446" s="2" t="s">
        <v>344</v>
      </c>
      <c r="B446" s="9">
        <v>1</v>
      </c>
      <c r="C446" s="9">
        <v>1</v>
      </c>
      <c r="D446" s="10" t="s">
        <v>50</v>
      </c>
      <c r="E446" s="11" t="s">
        <v>362</v>
      </c>
      <c r="F446" s="12">
        <v>1</v>
      </c>
      <c r="G446" s="10" t="s">
        <v>100</v>
      </c>
      <c r="H446" s="13"/>
      <c r="I446" s="6"/>
      <c r="J446" s="10"/>
    </row>
    <row r="447" spans="1:10" ht="44.25" x14ac:dyDescent="0.2">
      <c r="A447" s="2" t="s">
        <v>344</v>
      </c>
      <c r="B447" s="9">
        <v>1</v>
      </c>
      <c r="C447" s="9">
        <v>1</v>
      </c>
      <c r="D447" s="10" t="s">
        <v>52</v>
      </c>
      <c r="E447" s="11" t="s">
        <v>363</v>
      </c>
      <c r="F447" s="12">
        <v>2</v>
      </c>
      <c r="G447" s="10" t="s">
        <v>79</v>
      </c>
      <c r="H447" s="13"/>
      <c r="I447" s="13"/>
      <c r="J447" s="10"/>
    </row>
    <row r="448" spans="1:10" ht="28.5" x14ac:dyDescent="0.2">
      <c r="A448" s="2" t="s">
        <v>344</v>
      </c>
      <c r="B448" s="9">
        <v>1</v>
      </c>
      <c r="C448" s="9">
        <v>1</v>
      </c>
      <c r="D448" s="10" t="s">
        <v>54</v>
      </c>
      <c r="E448" s="11" t="s">
        <v>364</v>
      </c>
      <c r="F448" s="12">
        <v>1.22</v>
      </c>
      <c r="G448" s="10" t="s">
        <v>169</v>
      </c>
      <c r="H448" s="13"/>
      <c r="I448" s="13"/>
      <c r="J448" s="10"/>
    </row>
    <row r="449" spans="1:10" x14ac:dyDescent="0.2">
      <c r="A449" s="2" t="s">
        <v>344</v>
      </c>
      <c r="B449" s="9">
        <v>1</v>
      </c>
      <c r="C449" s="9">
        <v>1</v>
      </c>
      <c r="D449" s="10" t="s">
        <v>56</v>
      </c>
      <c r="E449" s="11" t="s">
        <v>365</v>
      </c>
      <c r="F449" s="12">
        <v>243.00000000000003</v>
      </c>
      <c r="G449" s="10" t="s">
        <v>83</v>
      </c>
      <c r="H449" s="13"/>
      <c r="I449" s="13"/>
      <c r="J449" s="10"/>
    </row>
    <row r="450" spans="1:10" x14ac:dyDescent="0.2">
      <c r="A450" s="2" t="s">
        <v>344</v>
      </c>
      <c r="B450" s="9">
        <v>1</v>
      </c>
      <c r="C450" s="9">
        <v>1</v>
      </c>
      <c r="D450" s="10" t="s">
        <v>57</v>
      </c>
      <c r="E450" s="11" t="s">
        <v>366</v>
      </c>
      <c r="F450" s="12">
        <v>8</v>
      </c>
      <c r="G450" s="10" t="s">
        <v>258</v>
      </c>
      <c r="H450" s="13"/>
      <c r="I450" s="13"/>
      <c r="J450" s="10"/>
    </row>
    <row r="451" spans="1:10" ht="44.25" x14ac:dyDescent="0.2">
      <c r="A451" s="2" t="s">
        <v>344</v>
      </c>
      <c r="B451" s="9">
        <v>1</v>
      </c>
      <c r="C451" s="9">
        <v>1</v>
      </c>
      <c r="D451" s="10" t="s">
        <v>59</v>
      </c>
      <c r="E451" s="11" t="s">
        <v>323</v>
      </c>
      <c r="F451" s="12">
        <v>1092</v>
      </c>
      <c r="G451" s="10" t="s">
        <v>109</v>
      </c>
      <c r="H451" s="13"/>
      <c r="I451" s="13"/>
      <c r="J451" s="10"/>
    </row>
    <row r="452" spans="1:10" ht="28.5" x14ac:dyDescent="0.2">
      <c r="A452" s="2" t="s">
        <v>344</v>
      </c>
      <c r="B452" s="9">
        <v>1</v>
      </c>
      <c r="C452" s="9">
        <v>1</v>
      </c>
      <c r="D452" s="10" t="s">
        <v>60</v>
      </c>
      <c r="E452" s="11" t="s">
        <v>367</v>
      </c>
      <c r="F452" s="12">
        <v>1092</v>
      </c>
      <c r="G452" s="10" t="s">
        <v>109</v>
      </c>
      <c r="H452" s="13"/>
      <c r="I452" s="13"/>
      <c r="J452" s="10"/>
    </row>
    <row r="453" spans="1:10" x14ac:dyDescent="0.2">
      <c r="A453" s="1" t="s">
        <v>368</v>
      </c>
      <c r="B453" s="1"/>
      <c r="C453" s="1"/>
      <c r="D453" s="1"/>
      <c r="E453" s="1"/>
      <c r="F453" s="1"/>
      <c r="G453" s="1"/>
      <c r="H453" s="1" t="s">
        <v>67</v>
      </c>
      <c r="I453" s="13">
        <f>I427+I428+I429+I430+I432+I433+I434+I435+I437+I438+I439+I440+I441+I443+I444+I447+I448+I449+I450+I451+I452</f>
        <v>0</v>
      </c>
      <c r="J453" s="1"/>
    </row>
    <row r="456" spans="1:10" ht="15" x14ac:dyDescent="0.25">
      <c r="A456" s="21" t="s">
        <v>369</v>
      </c>
      <c r="B456" s="22"/>
      <c r="C456" s="22"/>
      <c r="D456" s="22"/>
      <c r="E456" s="22"/>
      <c r="F456" s="22"/>
      <c r="G456" s="22"/>
      <c r="H456" s="22"/>
      <c r="I456" s="22"/>
      <c r="J456" s="22"/>
    </row>
    <row r="457" spans="1:10" ht="15" x14ac:dyDescent="0.25">
      <c r="A457" s="21" t="s">
        <v>343</v>
      </c>
      <c r="B457" s="22"/>
      <c r="C457" s="22"/>
      <c r="D457" s="22"/>
      <c r="E457" s="22"/>
      <c r="F457" s="22"/>
      <c r="G457" s="22"/>
      <c r="H457" s="22"/>
      <c r="I457" s="22"/>
      <c r="J457" s="22"/>
    </row>
    <row r="459" spans="1:10" ht="15" x14ac:dyDescent="0.25">
      <c r="A459" s="3" t="s">
        <v>2</v>
      </c>
      <c r="B459" s="3" t="s">
        <v>3</v>
      </c>
      <c r="C459" s="3" t="s">
        <v>4</v>
      </c>
      <c r="D459" s="3" t="s">
        <v>5</v>
      </c>
      <c r="E459" s="3" t="s">
        <v>6</v>
      </c>
      <c r="F459" s="7" t="s">
        <v>7</v>
      </c>
      <c r="G459" s="3" t="s">
        <v>8</v>
      </c>
      <c r="H459" s="7" t="s">
        <v>9</v>
      </c>
      <c r="I459" s="7" t="s">
        <v>10</v>
      </c>
      <c r="J459" s="3" t="s">
        <v>11</v>
      </c>
    </row>
    <row r="460" spans="1:10" ht="74.25" x14ac:dyDescent="0.2">
      <c r="A460" s="2" t="s">
        <v>344</v>
      </c>
      <c r="B460" s="9">
        <v>1</v>
      </c>
      <c r="C460" s="9">
        <v>2</v>
      </c>
      <c r="D460" s="10" t="s">
        <v>13</v>
      </c>
      <c r="E460" s="11" t="s">
        <v>370</v>
      </c>
      <c r="F460" s="12">
        <v>1</v>
      </c>
      <c r="G460" s="10" t="s">
        <v>127</v>
      </c>
      <c r="H460" s="13"/>
      <c r="I460" s="6"/>
      <c r="J460" s="10"/>
    </row>
    <row r="461" spans="1:10" ht="87.75" x14ac:dyDescent="0.2">
      <c r="A461" s="2" t="s">
        <v>344</v>
      </c>
      <c r="B461" s="9">
        <v>1</v>
      </c>
      <c r="C461" s="9">
        <v>2</v>
      </c>
      <c r="D461" s="10" t="s">
        <v>16</v>
      </c>
      <c r="E461" s="11" t="s">
        <v>371</v>
      </c>
      <c r="F461" s="12">
        <v>827.99999999999989</v>
      </c>
      <c r="G461" s="10" t="s">
        <v>109</v>
      </c>
      <c r="H461" s="13"/>
      <c r="I461" s="13"/>
      <c r="J461" s="10"/>
    </row>
    <row r="462" spans="1:10" ht="71.25" x14ac:dyDescent="0.2">
      <c r="A462" s="2" t="s">
        <v>344</v>
      </c>
      <c r="B462" s="9">
        <v>1</v>
      </c>
      <c r="C462" s="9">
        <v>2</v>
      </c>
      <c r="D462" s="10" t="s">
        <v>16</v>
      </c>
      <c r="E462" s="11" t="s">
        <v>372</v>
      </c>
      <c r="F462" s="12">
        <v>827.99999999999989</v>
      </c>
      <c r="G462" s="10" t="s">
        <v>109</v>
      </c>
      <c r="H462" s="13"/>
      <c r="I462" s="13"/>
      <c r="J462" s="10"/>
    </row>
    <row r="463" spans="1:10" ht="28.5" x14ac:dyDescent="0.2">
      <c r="A463" s="2" t="s">
        <v>344</v>
      </c>
      <c r="B463" s="9">
        <v>1</v>
      </c>
      <c r="C463" s="9">
        <v>2</v>
      </c>
      <c r="D463" s="10" t="s">
        <v>18</v>
      </c>
      <c r="E463" s="11" t="s">
        <v>373</v>
      </c>
      <c r="F463" s="12">
        <v>170.00000000000003</v>
      </c>
      <c r="G463" s="10" t="s">
        <v>83</v>
      </c>
      <c r="H463" s="13"/>
      <c r="I463" s="6"/>
      <c r="J463" s="10"/>
    </row>
    <row r="464" spans="1:10" x14ac:dyDescent="0.2">
      <c r="A464" s="2" t="s">
        <v>344</v>
      </c>
      <c r="B464" s="9">
        <v>1</v>
      </c>
      <c r="C464" s="9">
        <v>2</v>
      </c>
      <c r="D464" s="10" t="s">
        <v>20</v>
      </c>
      <c r="E464" s="11" t="s">
        <v>374</v>
      </c>
      <c r="F464" s="12">
        <v>170.00000000000003</v>
      </c>
      <c r="G464" s="10" t="s">
        <v>83</v>
      </c>
      <c r="H464" s="13"/>
      <c r="I464" s="6"/>
      <c r="J464" s="10"/>
    </row>
    <row r="465" spans="1:10" x14ac:dyDescent="0.2">
      <c r="A465" s="2" t="s">
        <v>344</v>
      </c>
      <c r="B465" s="9">
        <v>1</v>
      </c>
      <c r="C465" s="9">
        <v>2</v>
      </c>
      <c r="D465" s="10" t="s">
        <v>22</v>
      </c>
      <c r="E465" s="11" t="s">
        <v>375</v>
      </c>
      <c r="F465" s="12">
        <v>717</v>
      </c>
      <c r="G465" s="10" t="s">
        <v>109</v>
      </c>
      <c r="H465" s="13"/>
      <c r="I465" s="13"/>
      <c r="J465" s="10"/>
    </row>
    <row r="466" spans="1:10" ht="42.75" x14ac:dyDescent="0.2">
      <c r="A466" s="2" t="s">
        <v>344</v>
      </c>
      <c r="B466" s="9">
        <v>1</v>
      </c>
      <c r="C466" s="9">
        <v>2</v>
      </c>
      <c r="D466" s="10" t="s">
        <v>24</v>
      </c>
      <c r="E466" s="11" t="s">
        <v>376</v>
      </c>
      <c r="F466" s="12">
        <v>111.00000000000001</v>
      </c>
      <c r="G466" s="10" t="s">
        <v>109</v>
      </c>
      <c r="H466" s="13"/>
      <c r="I466" s="13"/>
      <c r="J466" s="10"/>
    </row>
    <row r="467" spans="1:10" x14ac:dyDescent="0.2">
      <c r="A467" s="2" t="s">
        <v>344</v>
      </c>
      <c r="B467" s="9">
        <v>1</v>
      </c>
      <c r="C467" s="9">
        <v>2</v>
      </c>
      <c r="D467" s="10" t="s">
        <v>27</v>
      </c>
      <c r="E467" s="11" t="s">
        <v>377</v>
      </c>
      <c r="F467" s="12">
        <v>11</v>
      </c>
      <c r="G467" s="10" t="s">
        <v>83</v>
      </c>
      <c r="H467" s="13"/>
      <c r="I467" s="13"/>
      <c r="J467" s="10"/>
    </row>
    <row r="468" spans="1:10" ht="71.25" x14ac:dyDescent="0.2">
      <c r="A468" s="2" t="s">
        <v>344</v>
      </c>
      <c r="B468" s="9">
        <v>1</v>
      </c>
      <c r="C468" s="9">
        <v>2</v>
      </c>
      <c r="D468" s="10" t="s">
        <v>29</v>
      </c>
      <c r="E468" s="11" t="s">
        <v>378</v>
      </c>
      <c r="F468" s="12">
        <v>36</v>
      </c>
      <c r="G468" s="10" t="s">
        <v>83</v>
      </c>
      <c r="H468" s="13"/>
      <c r="I468" s="13"/>
      <c r="J468" s="10"/>
    </row>
    <row r="469" spans="1:10" ht="28.5" x14ac:dyDescent="0.2">
      <c r="A469" s="2" t="s">
        <v>344</v>
      </c>
      <c r="B469" s="9">
        <v>1</v>
      </c>
      <c r="C469" s="9">
        <v>2</v>
      </c>
      <c r="D469" s="10" t="s">
        <v>32</v>
      </c>
      <c r="E469" s="11" t="s">
        <v>352</v>
      </c>
      <c r="F469" s="12">
        <v>36</v>
      </c>
      <c r="G469" s="10" t="s">
        <v>83</v>
      </c>
      <c r="H469" s="13"/>
      <c r="I469" s="13"/>
      <c r="J469" s="10"/>
    </row>
    <row r="470" spans="1:10" ht="99.75" x14ac:dyDescent="0.2">
      <c r="A470" s="2" t="s">
        <v>344</v>
      </c>
      <c r="B470" s="9">
        <v>1</v>
      </c>
      <c r="C470" s="9">
        <v>2</v>
      </c>
      <c r="D470" s="10" t="s">
        <v>33</v>
      </c>
      <c r="E470" s="11" t="s">
        <v>379</v>
      </c>
      <c r="F470" s="12">
        <v>123</v>
      </c>
      <c r="G470" s="10" t="s">
        <v>83</v>
      </c>
      <c r="H470" s="13"/>
      <c r="I470" s="13"/>
      <c r="J470" s="10"/>
    </row>
    <row r="471" spans="1:10" ht="85.5" x14ac:dyDescent="0.2">
      <c r="A471" s="2" t="s">
        <v>344</v>
      </c>
      <c r="B471" s="9">
        <v>1</v>
      </c>
      <c r="C471" s="9">
        <v>2</v>
      </c>
      <c r="D471" s="10" t="s">
        <v>34</v>
      </c>
      <c r="E471" s="11" t="s">
        <v>380</v>
      </c>
      <c r="F471" s="12">
        <v>5</v>
      </c>
      <c r="G471" s="10" t="s">
        <v>258</v>
      </c>
      <c r="H471" s="13"/>
      <c r="I471" s="13"/>
      <c r="J471" s="10"/>
    </row>
    <row r="472" spans="1:10" x14ac:dyDescent="0.2">
      <c r="A472" s="2" t="s">
        <v>344</v>
      </c>
      <c r="B472" s="9">
        <v>1</v>
      </c>
      <c r="C472" s="9">
        <v>2</v>
      </c>
      <c r="D472" s="10" t="s">
        <v>35</v>
      </c>
      <c r="E472" s="11" t="s">
        <v>381</v>
      </c>
      <c r="F472" s="12">
        <v>2</v>
      </c>
      <c r="G472" s="10" t="s">
        <v>258</v>
      </c>
      <c r="H472" s="13"/>
      <c r="I472" s="13"/>
      <c r="J472" s="10"/>
    </row>
    <row r="473" spans="1:10" x14ac:dyDescent="0.2">
      <c r="A473" s="2" t="s">
        <v>344</v>
      </c>
      <c r="B473" s="9">
        <v>1</v>
      </c>
      <c r="C473" s="9">
        <v>2</v>
      </c>
      <c r="D473" s="10" t="s">
        <v>36</v>
      </c>
      <c r="E473" s="11" t="s">
        <v>382</v>
      </c>
      <c r="F473" s="12">
        <v>1</v>
      </c>
      <c r="G473" s="10" t="s">
        <v>258</v>
      </c>
      <c r="H473" s="13"/>
      <c r="I473" s="13"/>
      <c r="J473" s="10"/>
    </row>
    <row r="474" spans="1:10" ht="102.75" x14ac:dyDescent="0.2">
      <c r="A474" s="2" t="s">
        <v>344</v>
      </c>
      <c r="B474" s="9">
        <v>1</v>
      </c>
      <c r="C474" s="9">
        <v>2</v>
      </c>
      <c r="D474" s="10" t="s">
        <v>40</v>
      </c>
      <c r="E474" s="11" t="s">
        <v>383</v>
      </c>
      <c r="F474" s="12">
        <v>164</v>
      </c>
      <c r="G474" s="10" t="s">
        <v>109</v>
      </c>
      <c r="H474" s="13"/>
      <c r="I474" s="13"/>
      <c r="J474" s="10"/>
    </row>
    <row r="475" spans="1:10" ht="57" x14ac:dyDescent="0.2">
      <c r="A475" s="2" t="s">
        <v>344</v>
      </c>
      <c r="B475" s="9">
        <v>1</v>
      </c>
      <c r="C475" s="9">
        <v>2</v>
      </c>
      <c r="D475" s="10" t="s">
        <v>40</v>
      </c>
      <c r="E475" s="11" t="s">
        <v>384</v>
      </c>
      <c r="F475" s="12">
        <v>164</v>
      </c>
      <c r="G475" s="10" t="s">
        <v>109</v>
      </c>
      <c r="H475" s="13"/>
      <c r="I475" s="13"/>
      <c r="J475" s="10"/>
    </row>
    <row r="476" spans="1:10" x14ac:dyDescent="0.2">
      <c r="A476" s="2" t="s">
        <v>344</v>
      </c>
      <c r="B476" s="9">
        <v>1</v>
      </c>
      <c r="C476" s="9">
        <v>2</v>
      </c>
      <c r="D476" s="10" t="s">
        <v>42</v>
      </c>
      <c r="E476" s="11" t="s">
        <v>385</v>
      </c>
      <c r="F476" s="12">
        <v>33</v>
      </c>
      <c r="G476" s="10" t="s">
        <v>109</v>
      </c>
      <c r="H476" s="13"/>
      <c r="I476" s="13"/>
      <c r="J476" s="10"/>
    </row>
    <row r="477" spans="1:10" x14ac:dyDescent="0.2">
      <c r="A477" s="2" t="s">
        <v>344</v>
      </c>
      <c r="B477" s="9">
        <v>1</v>
      </c>
      <c r="C477" s="9">
        <v>2</v>
      </c>
      <c r="D477" s="10" t="s">
        <v>44</v>
      </c>
      <c r="E477" s="11" t="s">
        <v>374</v>
      </c>
      <c r="F477" s="12">
        <v>122</v>
      </c>
      <c r="G477" s="10" t="s">
        <v>83</v>
      </c>
      <c r="H477" s="13"/>
      <c r="I477" s="6"/>
      <c r="J477" s="10"/>
    </row>
    <row r="478" spans="1:10" ht="57" x14ac:dyDescent="0.2">
      <c r="A478" s="2" t="s">
        <v>344</v>
      </c>
      <c r="B478" s="9">
        <v>1</v>
      </c>
      <c r="C478" s="9">
        <v>2</v>
      </c>
      <c r="D478" s="10" t="s">
        <v>46</v>
      </c>
      <c r="E478" s="11" t="s">
        <v>386</v>
      </c>
      <c r="F478" s="12">
        <v>64</v>
      </c>
      <c r="G478" s="10" t="s">
        <v>83</v>
      </c>
      <c r="H478" s="13"/>
      <c r="I478" s="6"/>
      <c r="J478" s="10"/>
    </row>
    <row r="479" spans="1:10" ht="57" x14ac:dyDescent="0.2">
      <c r="A479" s="2" t="s">
        <v>344</v>
      </c>
      <c r="B479" s="9">
        <v>1</v>
      </c>
      <c r="C479" s="9">
        <v>2</v>
      </c>
      <c r="D479" s="10" t="s">
        <v>47</v>
      </c>
      <c r="E479" s="11" t="s">
        <v>387</v>
      </c>
      <c r="F479" s="12">
        <v>56.999999999999993</v>
      </c>
      <c r="G479" s="10" t="s">
        <v>83</v>
      </c>
      <c r="H479" s="13"/>
      <c r="I479" s="6"/>
      <c r="J479" s="10"/>
    </row>
    <row r="480" spans="1:10" ht="28.5" x14ac:dyDescent="0.2">
      <c r="A480" s="2" t="s">
        <v>344</v>
      </c>
      <c r="B480" s="9">
        <v>1</v>
      </c>
      <c r="C480" s="9">
        <v>2</v>
      </c>
      <c r="D480" s="10" t="s">
        <v>48</v>
      </c>
      <c r="E480" s="11" t="s">
        <v>388</v>
      </c>
      <c r="F480" s="12">
        <v>132</v>
      </c>
      <c r="G480" s="10" t="s">
        <v>109</v>
      </c>
      <c r="H480" s="13"/>
      <c r="I480" s="13"/>
      <c r="J480" s="10"/>
    </row>
    <row r="481" spans="1:10" x14ac:dyDescent="0.2">
      <c r="A481" s="2" t="s">
        <v>344</v>
      </c>
      <c r="B481" s="9">
        <v>1</v>
      </c>
      <c r="C481" s="9">
        <v>2</v>
      </c>
      <c r="D481" s="10" t="s">
        <v>50</v>
      </c>
      <c r="E481" s="11" t="s">
        <v>389</v>
      </c>
      <c r="F481" s="12">
        <v>12</v>
      </c>
      <c r="G481" s="10" t="s">
        <v>258</v>
      </c>
      <c r="H481" s="13"/>
      <c r="I481" s="13"/>
      <c r="J481" s="10"/>
    </row>
    <row r="482" spans="1:10" ht="28.5" x14ac:dyDescent="0.2">
      <c r="A482" s="2" t="s">
        <v>344</v>
      </c>
      <c r="B482" s="9">
        <v>1</v>
      </c>
      <c r="C482" s="9">
        <v>2</v>
      </c>
      <c r="D482" s="10" t="s">
        <v>52</v>
      </c>
      <c r="E482" s="11" t="s">
        <v>390</v>
      </c>
      <c r="F482" s="12">
        <v>8</v>
      </c>
      <c r="G482" s="10" t="s">
        <v>258</v>
      </c>
      <c r="H482" s="13"/>
      <c r="I482" s="13"/>
      <c r="J482" s="10"/>
    </row>
    <row r="483" spans="1:10" x14ac:dyDescent="0.2">
      <c r="A483" s="1" t="s">
        <v>391</v>
      </c>
      <c r="B483" s="1"/>
      <c r="C483" s="1"/>
      <c r="D483" s="1"/>
      <c r="E483" s="1"/>
      <c r="F483" s="1"/>
      <c r="G483" s="1"/>
      <c r="H483" s="1" t="s">
        <v>67</v>
      </c>
      <c r="I483" s="13">
        <f>I461+I462+I465+I466+I467+I468+I469+I470+I471+I472+I473+I474+I475+I476+I480+I481+I482</f>
        <v>0</v>
      </c>
      <c r="J483" s="1"/>
    </row>
    <row r="486" spans="1:10" ht="15" x14ac:dyDescent="0.25">
      <c r="A486" s="21" t="s">
        <v>392</v>
      </c>
      <c r="B486" s="22"/>
      <c r="C486" s="22"/>
      <c r="D486" s="22"/>
      <c r="E486" s="22"/>
      <c r="F486" s="22"/>
      <c r="G486" s="22"/>
      <c r="H486" s="22"/>
      <c r="I486" s="22"/>
      <c r="J486" s="22"/>
    </row>
    <row r="487" spans="1:10" ht="15" x14ac:dyDescent="0.25">
      <c r="A487" s="21" t="s">
        <v>343</v>
      </c>
      <c r="B487" s="22"/>
      <c r="C487" s="22"/>
      <c r="D487" s="22"/>
      <c r="E487" s="22"/>
      <c r="F487" s="22"/>
      <c r="G487" s="22"/>
      <c r="H487" s="22"/>
      <c r="I487" s="22"/>
      <c r="J487" s="22"/>
    </row>
    <row r="489" spans="1:10" ht="15" x14ac:dyDescent="0.25">
      <c r="A489" s="3" t="s">
        <v>2</v>
      </c>
      <c r="B489" s="3" t="s">
        <v>3</v>
      </c>
      <c r="C489" s="3" t="s">
        <v>4</v>
      </c>
      <c r="D489" s="3" t="s">
        <v>5</v>
      </c>
      <c r="E489" s="3" t="s">
        <v>6</v>
      </c>
      <c r="F489" s="7" t="s">
        <v>7</v>
      </c>
      <c r="G489" s="3" t="s">
        <v>8</v>
      </c>
      <c r="H489" s="7" t="s">
        <v>9</v>
      </c>
      <c r="I489" s="7" t="s">
        <v>10</v>
      </c>
      <c r="J489" s="3" t="s">
        <v>11</v>
      </c>
    </row>
    <row r="490" spans="1:10" ht="74.25" x14ac:dyDescent="0.2">
      <c r="A490" s="2" t="s">
        <v>344</v>
      </c>
      <c r="B490" s="9">
        <v>1</v>
      </c>
      <c r="C490" s="9">
        <v>3</v>
      </c>
      <c r="D490" s="10" t="s">
        <v>13</v>
      </c>
      <c r="E490" s="11" t="s">
        <v>393</v>
      </c>
      <c r="F490" s="12">
        <v>1</v>
      </c>
      <c r="G490" s="10" t="s">
        <v>127</v>
      </c>
      <c r="H490" s="13"/>
      <c r="I490" s="6"/>
      <c r="J490" s="10"/>
    </row>
    <row r="491" spans="1:10" ht="146.25" x14ac:dyDescent="0.2">
      <c r="A491" s="2" t="s">
        <v>344</v>
      </c>
      <c r="B491" s="9">
        <v>1</v>
      </c>
      <c r="C491" s="9">
        <v>3</v>
      </c>
      <c r="D491" s="10" t="s">
        <v>16</v>
      </c>
      <c r="E491" s="11" t="s">
        <v>394</v>
      </c>
      <c r="F491" s="12">
        <v>72</v>
      </c>
      <c r="G491" s="10" t="s">
        <v>109</v>
      </c>
      <c r="H491" s="13"/>
      <c r="I491" s="13"/>
      <c r="J491" s="10"/>
    </row>
    <row r="492" spans="1:10" ht="28.5" x14ac:dyDescent="0.2">
      <c r="A492" s="2" t="s">
        <v>344</v>
      </c>
      <c r="B492" s="9">
        <v>1</v>
      </c>
      <c r="C492" s="9">
        <v>3</v>
      </c>
      <c r="D492" s="10" t="s">
        <v>18</v>
      </c>
      <c r="E492" s="11" t="s">
        <v>373</v>
      </c>
      <c r="F492" s="12">
        <v>53</v>
      </c>
      <c r="G492" s="10" t="s">
        <v>83</v>
      </c>
      <c r="H492" s="13"/>
      <c r="I492" s="13"/>
      <c r="J492" s="10"/>
    </row>
    <row r="493" spans="1:10" ht="99.75" x14ac:dyDescent="0.2">
      <c r="A493" s="2" t="s">
        <v>344</v>
      </c>
      <c r="B493" s="9">
        <v>1</v>
      </c>
      <c r="C493" s="9">
        <v>3</v>
      </c>
      <c r="D493" s="10" t="s">
        <v>20</v>
      </c>
      <c r="E493" s="11" t="s">
        <v>395</v>
      </c>
      <c r="F493" s="12">
        <v>53</v>
      </c>
      <c r="G493" s="10" t="s">
        <v>83</v>
      </c>
      <c r="H493" s="13"/>
      <c r="I493" s="6"/>
      <c r="J493" s="10"/>
    </row>
    <row r="494" spans="1:10" ht="28.5" x14ac:dyDescent="0.2">
      <c r="A494" s="2" t="s">
        <v>344</v>
      </c>
      <c r="B494" s="9">
        <v>1</v>
      </c>
      <c r="C494" s="9">
        <v>3</v>
      </c>
      <c r="D494" s="10" t="s">
        <v>22</v>
      </c>
      <c r="E494" s="11" t="s">
        <v>396</v>
      </c>
      <c r="F494" s="12">
        <v>20</v>
      </c>
      <c r="G494" s="10" t="s">
        <v>83</v>
      </c>
      <c r="H494" s="13"/>
      <c r="I494" s="13"/>
      <c r="J494" s="10"/>
    </row>
    <row r="495" spans="1:10" x14ac:dyDescent="0.2">
      <c r="A495" s="2" t="s">
        <v>344</v>
      </c>
      <c r="B495" s="9">
        <v>1</v>
      </c>
      <c r="C495" s="9">
        <v>3</v>
      </c>
      <c r="D495" s="10" t="s">
        <v>24</v>
      </c>
      <c r="E495" s="11" t="s">
        <v>389</v>
      </c>
      <c r="F495" s="12">
        <v>2</v>
      </c>
      <c r="G495" s="10" t="s">
        <v>258</v>
      </c>
      <c r="H495" s="13"/>
      <c r="I495" s="13"/>
      <c r="J495" s="10"/>
    </row>
    <row r="496" spans="1:10" ht="28.5" x14ac:dyDescent="0.2">
      <c r="A496" s="2" t="s">
        <v>344</v>
      </c>
      <c r="B496" s="9">
        <v>1</v>
      </c>
      <c r="C496" s="9">
        <v>3</v>
      </c>
      <c r="D496" s="10" t="s">
        <v>27</v>
      </c>
      <c r="E496" s="11" t="s">
        <v>390</v>
      </c>
      <c r="F496" s="12">
        <v>4</v>
      </c>
      <c r="G496" s="10" t="s">
        <v>258</v>
      </c>
      <c r="H496" s="13"/>
      <c r="I496" s="13"/>
      <c r="J496" s="10"/>
    </row>
    <row r="497" spans="1:10" ht="117" x14ac:dyDescent="0.2">
      <c r="A497" s="2" t="s">
        <v>344</v>
      </c>
      <c r="B497" s="9">
        <v>1</v>
      </c>
      <c r="C497" s="9">
        <v>3</v>
      </c>
      <c r="D497" s="10" t="s">
        <v>29</v>
      </c>
      <c r="E497" s="11" t="s">
        <v>397</v>
      </c>
      <c r="F497" s="12">
        <v>40</v>
      </c>
      <c r="G497" s="10" t="s">
        <v>109</v>
      </c>
      <c r="H497" s="13"/>
      <c r="I497" s="13"/>
      <c r="J497" s="10"/>
    </row>
    <row r="498" spans="1:10" ht="28.5" x14ac:dyDescent="0.2">
      <c r="A498" s="2" t="s">
        <v>344</v>
      </c>
      <c r="B498" s="9">
        <v>1</v>
      </c>
      <c r="C498" s="9">
        <v>3</v>
      </c>
      <c r="D498" s="10" t="s">
        <v>32</v>
      </c>
      <c r="E498" s="11" t="s">
        <v>373</v>
      </c>
      <c r="F498" s="12">
        <v>0</v>
      </c>
      <c r="G498" s="10"/>
      <c r="H498" s="13"/>
      <c r="I498" s="6"/>
      <c r="J498" s="10"/>
    </row>
    <row r="499" spans="1:10" ht="57" x14ac:dyDescent="0.2">
      <c r="A499" s="2" t="s">
        <v>344</v>
      </c>
      <c r="B499" s="9">
        <v>1</v>
      </c>
      <c r="C499" s="9">
        <v>3</v>
      </c>
      <c r="D499" s="10" t="s">
        <v>33</v>
      </c>
      <c r="E499" s="11" t="s">
        <v>398</v>
      </c>
      <c r="F499" s="12">
        <v>12</v>
      </c>
      <c r="G499" s="10" t="s">
        <v>83</v>
      </c>
      <c r="H499" s="13"/>
      <c r="I499" s="13"/>
      <c r="J499" s="10"/>
    </row>
    <row r="500" spans="1:10" ht="85.5" x14ac:dyDescent="0.2">
      <c r="A500" s="2" t="s">
        <v>344</v>
      </c>
      <c r="B500" s="9">
        <v>1</v>
      </c>
      <c r="C500" s="9">
        <v>3</v>
      </c>
      <c r="D500" s="10" t="s">
        <v>34</v>
      </c>
      <c r="E500" s="11" t="s">
        <v>399</v>
      </c>
      <c r="F500" s="12">
        <v>14.000000000000002</v>
      </c>
      <c r="G500" s="10" t="s">
        <v>83</v>
      </c>
      <c r="H500" s="13"/>
      <c r="I500" s="13"/>
      <c r="J500" s="10"/>
    </row>
    <row r="501" spans="1:10" x14ac:dyDescent="0.2">
      <c r="A501" s="2" t="s">
        <v>344</v>
      </c>
      <c r="B501" s="9">
        <v>1</v>
      </c>
      <c r="C501" s="9">
        <v>3</v>
      </c>
      <c r="D501" s="10" t="s">
        <v>35</v>
      </c>
      <c r="E501" s="11" t="s">
        <v>400</v>
      </c>
      <c r="F501" s="12">
        <v>7.0000000000000009</v>
      </c>
      <c r="G501" s="10" t="s">
        <v>83</v>
      </c>
      <c r="H501" s="13"/>
      <c r="I501" s="13"/>
      <c r="J501" s="10"/>
    </row>
    <row r="502" spans="1:10" x14ac:dyDescent="0.2">
      <c r="A502" s="2" t="s">
        <v>344</v>
      </c>
      <c r="B502" s="9">
        <v>1</v>
      </c>
      <c r="C502" s="9">
        <v>3</v>
      </c>
      <c r="D502" s="10" t="s">
        <v>36</v>
      </c>
      <c r="E502" s="11" t="s">
        <v>401</v>
      </c>
      <c r="F502" s="12">
        <v>14.000000000000002</v>
      </c>
      <c r="G502" s="10" t="s">
        <v>83</v>
      </c>
      <c r="H502" s="13"/>
      <c r="I502" s="13"/>
      <c r="J502" s="10"/>
    </row>
    <row r="503" spans="1:10" x14ac:dyDescent="0.2">
      <c r="A503" s="2" t="s">
        <v>344</v>
      </c>
      <c r="B503" s="9">
        <v>1</v>
      </c>
      <c r="C503" s="9">
        <v>3</v>
      </c>
      <c r="D503" s="10" t="s">
        <v>40</v>
      </c>
      <c r="E503" s="11" t="s">
        <v>389</v>
      </c>
      <c r="F503" s="12">
        <v>2</v>
      </c>
      <c r="G503" s="10" t="s">
        <v>258</v>
      </c>
      <c r="H503" s="13"/>
      <c r="I503" s="13"/>
      <c r="J503" s="10"/>
    </row>
    <row r="504" spans="1:10" ht="28.5" x14ac:dyDescent="0.2">
      <c r="A504" s="2" t="s">
        <v>344</v>
      </c>
      <c r="B504" s="9">
        <v>1</v>
      </c>
      <c r="C504" s="9">
        <v>3</v>
      </c>
      <c r="D504" s="10" t="s">
        <v>42</v>
      </c>
      <c r="E504" s="11" t="s">
        <v>402</v>
      </c>
      <c r="F504" s="12">
        <v>40</v>
      </c>
      <c r="G504" s="10" t="s">
        <v>109</v>
      </c>
      <c r="H504" s="13"/>
      <c r="I504" s="13"/>
      <c r="J504" s="10"/>
    </row>
    <row r="505" spans="1:10" x14ac:dyDescent="0.2">
      <c r="A505" s="2" t="s">
        <v>344</v>
      </c>
      <c r="B505" s="9">
        <v>1</v>
      </c>
      <c r="C505" s="9">
        <v>3</v>
      </c>
      <c r="D505" s="10" t="s">
        <v>44</v>
      </c>
      <c r="E505" s="11" t="s">
        <v>403</v>
      </c>
      <c r="F505" s="12">
        <v>12</v>
      </c>
      <c r="G505" s="10" t="s">
        <v>83</v>
      </c>
      <c r="H505" s="13"/>
      <c r="I505" s="13"/>
      <c r="J505" s="10"/>
    </row>
    <row r="506" spans="1:10" x14ac:dyDescent="0.2">
      <c r="A506" s="1" t="s">
        <v>404</v>
      </c>
      <c r="B506" s="1"/>
      <c r="C506" s="1"/>
      <c r="D506" s="1"/>
      <c r="E506" s="1"/>
      <c r="F506" s="1"/>
      <c r="G506" s="1"/>
      <c r="H506" s="1" t="s">
        <v>67</v>
      </c>
      <c r="I506" s="13">
        <f>I491+I492+I494+I495+I496+I497+I499+I500+I501+I502+I503+I504+I505</f>
        <v>0</v>
      </c>
      <c r="J506" s="1"/>
    </row>
    <row r="509" spans="1:10" ht="15" x14ac:dyDescent="0.25">
      <c r="A509" s="21" t="s">
        <v>405</v>
      </c>
      <c r="B509" s="22"/>
      <c r="C509" s="22"/>
      <c r="D509" s="22"/>
      <c r="E509" s="22"/>
      <c r="F509" s="22"/>
      <c r="G509" s="22"/>
      <c r="H509" s="22"/>
      <c r="I509" s="22"/>
      <c r="J509" s="22"/>
    </row>
    <row r="510" spans="1:10" ht="15" x14ac:dyDescent="0.25">
      <c r="A510" s="21" t="s">
        <v>343</v>
      </c>
      <c r="B510" s="22"/>
      <c r="C510" s="22"/>
      <c r="D510" s="22"/>
      <c r="E510" s="22"/>
      <c r="F510" s="22"/>
      <c r="G510" s="22"/>
      <c r="H510" s="22"/>
      <c r="I510" s="22"/>
      <c r="J510" s="22"/>
    </row>
    <row r="512" spans="1:10" ht="15" x14ac:dyDescent="0.25">
      <c r="A512" s="3" t="s">
        <v>2</v>
      </c>
      <c r="B512" s="3" t="s">
        <v>3</v>
      </c>
      <c r="C512" s="3" t="s">
        <v>4</v>
      </c>
      <c r="D512" s="3" t="s">
        <v>5</v>
      </c>
      <c r="E512" s="3" t="s">
        <v>6</v>
      </c>
      <c r="F512" s="7" t="s">
        <v>7</v>
      </c>
      <c r="G512" s="3" t="s">
        <v>8</v>
      </c>
      <c r="H512" s="7" t="s">
        <v>9</v>
      </c>
      <c r="I512" s="7" t="s">
        <v>10</v>
      </c>
      <c r="J512" s="3" t="s">
        <v>11</v>
      </c>
    </row>
    <row r="513" spans="1:10" ht="58.5" x14ac:dyDescent="0.2">
      <c r="A513" s="2" t="s">
        <v>344</v>
      </c>
      <c r="B513" s="9">
        <v>1</v>
      </c>
      <c r="C513" s="9">
        <v>4</v>
      </c>
      <c r="D513" s="10" t="s">
        <v>13</v>
      </c>
      <c r="E513" s="11" t="s">
        <v>406</v>
      </c>
      <c r="F513" s="12">
        <v>171</v>
      </c>
      <c r="G513" s="10" t="s">
        <v>109</v>
      </c>
      <c r="H513" s="13"/>
      <c r="I513" s="6"/>
      <c r="J513" s="10"/>
    </row>
    <row r="514" spans="1:10" ht="42.75" x14ac:dyDescent="0.2">
      <c r="A514" s="2" t="s">
        <v>344</v>
      </c>
      <c r="B514" s="9">
        <v>1</v>
      </c>
      <c r="C514" s="9">
        <v>4</v>
      </c>
      <c r="D514" s="10" t="s">
        <v>16</v>
      </c>
      <c r="E514" s="11" t="s">
        <v>407</v>
      </c>
      <c r="F514" s="12">
        <v>123</v>
      </c>
      <c r="G514" s="10" t="s">
        <v>83</v>
      </c>
      <c r="H514" s="13"/>
      <c r="I514" s="13"/>
      <c r="J514" s="10"/>
    </row>
    <row r="515" spans="1:10" ht="87" x14ac:dyDescent="0.2">
      <c r="A515" s="2" t="s">
        <v>344</v>
      </c>
      <c r="B515" s="9">
        <v>1</v>
      </c>
      <c r="C515" s="9">
        <v>4</v>
      </c>
      <c r="D515" s="10" t="s">
        <v>18</v>
      </c>
      <c r="E515" s="11" t="s">
        <v>408</v>
      </c>
      <c r="F515" s="12">
        <v>123</v>
      </c>
      <c r="G515" s="10" t="s">
        <v>83</v>
      </c>
      <c r="H515" s="13"/>
      <c r="I515" s="6"/>
      <c r="J515" s="10"/>
    </row>
    <row r="516" spans="1:10" x14ac:dyDescent="0.2">
      <c r="A516" s="2" t="s">
        <v>344</v>
      </c>
      <c r="B516" s="9">
        <v>1</v>
      </c>
      <c r="C516" s="9">
        <v>4</v>
      </c>
      <c r="D516" s="10" t="s">
        <v>20</v>
      </c>
      <c r="E516" s="11" t="s">
        <v>409</v>
      </c>
      <c r="F516" s="12">
        <v>6</v>
      </c>
      <c r="G516" s="10" t="s">
        <v>258</v>
      </c>
      <c r="H516" s="13"/>
      <c r="I516" s="6"/>
      <c r="J516" s="10"/>
    </row>
    <row r="517" spans="1:10" x14ac:dyDescent="0.2">
      <c r="A517" s="2" t="s">
        <v>344</v>
      </c>
      <c r="B517" s="9">
        <v>1</v>
      </c>
      <c r="C517" s="9">
        <v>4</v>
      </c>
      <c r="D517" s="10" t="s">
        <v>22</v>
      </c>
      <c r="E517" s="11" t="s">
        <v>410</v>
      </c>
      <c r="F517" s="12">
        <v>1</v>
      </c>
      <c r="G517" s="10" t="s">
        <v>258</v>
      </c>
      <c r="H517" s="13"/>
      <c r="I517" s="6"/>
      <c r="J517" s="10"/>
    </row>
    <row r="518" spans="1:10" x14ac:dyDescent="0.2">
      <c r="A518" s="2" t="s">
        <v>344</v>
      </c>
      <c r="B518" s="9">
        <v>1</v>
      </c>
      <c r="C518" s="9">
        <v>4</v>
      </c>
      <c r="D518" s="10" t="s">
        <v>24</v>
      </c>
      <c r="E518" s="11" t="s">
        <v>411</v>
      </c>
      <c r="F518" s="12">
        <v>2</v>
      </c>
      <c r="G518" s="10" t="s">
        <v>258</v>
      </c>
      <c r="H518" s="13"/>
      <c r="I518" s="6"/>
      <c r="J518" s="10"/>
    </row>
    <row r="519" spans="1:10" ht="42.75" x14ac:dyDescent="0.2">
      <c r="A519" s="2" t="s">
        <v>344</v>
      </c>
      <c r="B519" s="9">
        <v>1</v>
      </c>
      <c r="C519" s="9">
        <v>4</v>
      </c>
      <c r="D519" s="10" t="s">
        <v>27</v>
      </c>
      <c r="E519" s="11" t="s">
        <v>412</v>
      </c>
      <c r="F519" s="12">
        <v>245.00000000000003</v>
      </c>
      <c r="G519" s="10" t="s">
        <v>83</v>
      </c>
      <c r="H519" s="13"/>
      <c r="I519" s="6"/>
      <c r="J519" s="10"/>
    </row>
    <row r="520" spans="1:10" x14ac:dyDescent="0.2">
      <c r="A520" s="2" t="s">
        <v>344</v>
      </c>
      <c r="B520" s="9">
        <v>1</v>
      </c>
      <c r="C520" s="9">
        <v>4</v>
      </c>
      <c r="D520" s="10" t="s">
        <v>29</v>
      </c>
      <c r="E520" s="11" t="s">
        <v>409</v>
      </c>
      <c r="F520" s="12">
        <v>6</v>
      </c>
      <c r="G520" s="10" t="s">
        <v>258</v>
      </c>
      <c r="H520" s="13"/>
      <c r="I520" s="6"/>
      <c r="J520" s="10"/>
    </row>
    <row r="521" spans="1:10" x14ac:dyDescent="0.2">
      <c r="A521" s="2" t="s">
        <v>344</v>
      </c>
      <c r="B521" s="9">
        <v>1</v>
      </c>
      <c r="C521" s="9">
        <v>4</v>
      </c>
      <c r="D521" s="10" t="s">
        <v>32</v>
      </c>
      <c r="E521" s="11" t="s">
        <v>410</v>
      </c>
      <c r="F521" s="12">
        <v>1</v>
      </c>
      <c r="G521" s="10" t="s">
        <v>258</v>
      </c>
      <c r="H521" s="13"/>
      <c r="I521" s="6"/>
      <c r="J521" s="10"/>
    </row>
    <row r="522" spans="1:10" x14ac:dyDescent="0.2">
      <c r="A522" s="2" t="s">
        <v>344</v>
      </c>
      <c r="B522" s="9">
        <v>1</v>
      </c>
      <c r="C522" s="9">
        <v>4</v>
      </c>
      <c r="D522" s="10" t="s">
        <v>33</v>
      </c>
      <c r="E522" s="11" t="s">
        <v>411</v>
      </c>
      <c r="F522" s="12">
        <v>2</v>
      </c>
      <c r="G522" s="10" t="s">
        <v>258</v>
      </c>
      <c r="H522" s="13"/>
      <c r="I522" s="6"/>
      <c r="J522" s="10"/>
    </row>
    <row r="523" spans="1:10" ht="57" x14ac:dyDescent="0.2">
      <c r="A523" s="2" t="s">
        <v>344</v>
      </c>
      <c r="B523" s="9">
        <v>1</v>
      </c>
      <c r="C523" s="9">
        <v>4</v>
      </c>
      <c r="D523" s="10" t="s">
        <v>34</v>
      </c>
      <c r="E523" s="11" t="s">
        <v>413</v>
      </c>
      <c r="F523" s="12">
        <v>57.999999999999993</v>
      </c>
      <c r="G523" s="10" t="s">
        <v>83</v>
      </c>
      <c r="H523" s="13"/>
      <c r="I523" s="6"/>
      <c r="J523" s="10"/>
    </row>
    <row r="524" spans="1:10" x14ac:dyDescent="0.2">
      <c r="A524" s="2" t="s">
        <v>344</v>
      </c>
      <c r="B524" s="9">
        <v>1</v>
      </c>
      <c r="C524" s="9">
        <v>4</v>
      </c>
      <c r="D524" s="10" t="s">
        <v>35</v>
      </c>
      <c r="E524" s="11" t="s">
        <v>409</v>
      </c>
      <c r="F524" s="12">
        <v>5</v>
      </c>
      <c r="G524" s="10" t="s">
        <v>258</v>
      </c>
      <c r="H524" s="13"/>
      <c r="I524" s="6"/>
      <c r="J524" s="10"/>
    </row>
    <row r="525" spans="1:10" x14ac:dyDescent="0.2">
      <c r="A525" s="2" t="s">
        <v>344</v>
      </c>
      <c r="B525" s="9">
        <v>1</v>
      </c>
      <c r="C525" s="9">
        <v>4</v>
      </c>
      <c r="D525" s="10" t="s">
        <v>36</v>
      </c>
      <c r="E525" s="11" t="s">
        <v>410</v>
      </c>
      <c r="F525" s="12">
        <v>1</v>
      </c>
      <c r="G525" s="10" t="s">
        <v>258</v>
      </c>
      <c r="H525" s="13"/>
      <c r="I525" s="6"/>
      <c r="J525" s="10"/>
    </row>
    <row r="526" spans="1:10" ht="42.75" x14ac:dyDescent="0.2">
      <c r="A526" s="2" t="s">
        <v>344</v>
      </c>
      <c r="B526" s="9">
        <v>1</v>
      </c>
      <c r="C526" s="9">
        <v>4</v>
      </c>
      <c r="D526" s="10" t="s">
        <v>40</v>
      </c>
      <c r="E526" s="11" t="s">
        <v>414</v>
      </c>
      <c r="F526" s="12">
        <v>114.99999999999999</v>
      </c>
      <c r="G526" s="10" t="s">
        <v>83</v>
      </c>
      <c r="H526" s="13"/>
      <c r="I526" s="6"/>
      <c r="J526" s="10"/>
    </row>
    <row r="527" spans="1:10" x14ac:dyDescent="0.2">
      <c r="A527" s="2" t="s">
        <v>344</v>
      </c>
      <c r="B527" s="9">
        <v>1</v>
      </c>
      <c r="C527" s="9">
        <v>4</v>
      </c>
      <c r="D527" s="10" t="s">
        <v>42</v>
      </c>
      <c r="E527" s="11" t="s">
        <v>409</v>
      </c>
      <c r="F527" s="12">
        <v>5</v>
      </c>
      <c r="G527" s="10" t="s">
        <v>258</v>
      </c>
      <c r="H527" s="13"/>
      <c r="I527" s="6"/>
      <c r="J527" s="10"/>
    </row>
    <row r="528" spans="1:10" x14ac:dyDescent="0.2">
      <c r="A528" s="2" t="s">
        <v>344</v>
      </c>
      <c r="B528" s="9">
        <v>1</v>
      </c>
      <c r="C528" s="9">
        <v>4</v>
      </c>
      <c r="D528" s="10" t="s">
        <v>44</v>
      </c>
      <c r="E528" s="11" t="s">
        <v>410</v>
      </c>
      <c r="F528" s="12">
        <v>1</v>
      </c>
      <c r="G528" s="10" t="s">
        <v>258</v>
      </c>
      <c r="H528" s="13"/>
      <c r="I528" s="6"/>
      <c r="J528" s="10"/>
    </row>
    <row r="529" spans="1:10" ht="42.75" x14ac:dyDescent="0.2">
      <c r="A529" s="2" t="s">
        <v>344</v>
      </c>
      <c r="B529" s="9">
        <v>1</v>
      </c>
      <c r="C529" s="9">
        <v>4</v>
      </c>
      <c r="D529" s="10" t="s">
        <v>46</v>
      </c>
      <c r="E529" s="11" t="s">
        <v>415</v>
      </c>
      <c r="F529" s="12">
        <v>57.999999999999993</v>
      </c>
      <c r="G529" s="10" t="s">
        <v>83</v>
      </c>
      <c r="H529" s="13"/>
      <c r="I529" s="6"/>
      <c r="J529" s="10"/>
    </row>
    <row r="530" spans="1:10" ht="42.75" x14ac:dyDescent="0.2">
      <c r="A530" s="2" t="s">
        <v>344</v>
      </c>
      <c r="B530" s="9">
        <v>1</v>
      </c>
      <c r="C530" s="9">
        <v>4</v>
      </c>
      <c r="D530" s="10" t="s">
        <v>47</v>
      </c>
      <c r="E530" s="11" t="s">
        <v>416</v>
      </c>
      <c r="F530" s="12">
        <v>57.999999999999993</v>
      </c>
      <c r="G530" s="10" t="s">
        <v>83</v>
      </c>
      <c r="H530" s="13"/>
      <c r="I530" s="13"/>
      <c r="J530" s="10"/>
    </row>
    <row r="531" spans="1:10" x14ac:dyDescent="0.2">
      <c r="A531" s="1" t="s">
        <v>417</v>
      </c>
      <c r="B531" s="1"/>
      <c r="C531" s="1"/>
      <c r="D531" s="1"/>
      <c r="E531" s="1"/>
      <c r="F531" s="1"/>
      <c r="G531" s="1"/>
      <c r="H531" s="1" t="s">
        <v>67</v>
      </c>
      <c r="I531" s="13">
        <f>I514+I530</f>
        <v>0</v>
      </c>
      <c r="J531" s="1"/>
    </row>
    <row r="534" spans="1:10" ht="15" x14ac:dyDescent="0.25">
      <c r="A534" s="21" t="s">
        <v>418</v>
      </c>
      <c r="B534" s="22"/>
      <c r="C534" s="22"/>
      <c r="D534" s="22"/>
      <c r="E534" s="22"/>
      <c r="F534" s="22"/>
      <c r="G534" s="22"/>
      <c r="H534" s="22"/>
      <c r="I534" s="22"/>
      <c r="J534" s="22"/>
    </row>
    <row r="535" spans="1:10" ht="15" x14ac:dyDescent="0.25">
      <c r="A535" s="21" t="s">
        <v>343</v>
      </c>
      <c r="B535" s="22"/>
      <c r="C535" s="22"/>
      <c r="D535" s="22"/>
      <c r="E535" s="22"/>
      <c r="F535" s="22"/>
      <c r="G535" s="22"/>
      <c r="H535" s="22"/>
      <c r="I535" s="22"/>
      <c r="J535" s="22"/>
    </row>
    <row r="537" spans="1:10" ht="15" x14ac:dyDescent="0.25">
      <c r="A537" s="3" t="s">
        <v>2</v>
      </c>
      <c r="B537" s="3" t="s">
        <v>3</v>
      </c>
      <c r="C537" s="3" t="s">
        <v>4</v>
      </c>
      <c r="D537" s="3" t="s">
        <v>5</v>
      </c>
      <c r="E537" s="3" t="s">
        <v>6</v>
      </c>
      <c r="F537" s="7" t="s">
        <v>7</v>
      </c>
      <c r="G537" s="3" t="s">
        <v>8</v>
      </c>
      <c r="H537" s="7" t="s">
        <v>9</v>
      </c>
      <c r="I537" s="7" t="s">
        <v>10</v>
      </c>
      <c r="J537" s="3" t="s">
        <v>11</v>
      </c>
    </row>
    <row r="538" spans="1:10" ht="104.25" x14ac:dyDescent="0.2">
      <c r="A538" s="2" t="s">
        <v>344</v>
      </c>
      <c r="B538" s="9">
        <v>1</v>
      </c>
      <c r="C538" s="9">
        <v>5</v>
      </c>
      <c r="D538" s="10" t="s">
        <v>13</v>
      </c>
      <c r="E538" s="11" t="s">
        <v>419</v>
      </c>
      <c r="F538" s="12">
        <v>1</v>
      </c>
      <c r="G538" s="10" t="s">
        <v>127</v>
      </c>
      <c r="H538" s="13"/>
      <c r="I538" s="6"/>
      <c r="J538" s="10"/>
    </row>
    <row r="539" spans="1:10" ht="114" x14ac:dyDescent="0.2">
      <c r="A539" s="2" t="s">
        <v>344</v>
      </c>
      <c r="B539" s="9">
        <v>1</v>
      </c>
      <c r="C539" s="9">
        <v>5</v>
      </c>
      <c r="D539" s="10" t="s">
        <v>16</v>
      </c>
      <c r="E539" s="11" t="s">
        <v>420</v>
      </c>
      <c r="F539" s="12">
        <v>14.000000000000002</v>
      </c>
      <c r="G539" s="10" t="s">
        <v>83</v>
      </c>
      <c r="H539" s="13"/>
      <c r="I539" s="13"/>
      <c r="J539" s="10"/>
    </row>
    <row r="540" spans="1:10" x14ac:dyDescent="0.2">
      <c r="A540" s="2" t="s">
        <v>344</v>
      </c>
      <c r="B540" s="9">
        <v>1</v>
      </c>
      <c r="C540" s="9">
        <v>5</v>
      </c>
      <c r="D540" s="10" t="s">
        <v>18</v>
      </c>
      <c r="E540" s="11" t="s">
        <v>409</v>
      </c>
      <c r="F540" s="12">
        <v>1</v>
      </c>
      <c r="G540" s="10" t="s">
        <v>258</v>
      </c>
      <c r="H540" s="13"/>
      <c r="I540" s="13"/>
      <c r="J540" s="10"/>
    </row>
    <row r="541" spans="1:10" x14ac:dyDescent="0.2">
      <c r="A541" s="2" t="s">
        <v>344</v>
      </c>
      <c r="B541" s="9">
        <v>1</v>
      </c>
      <c r="C541" s="9">
        <v>5</v>
      </c>
      <c r="D541" s="10" t="s">
        <v>20</v>
      </c>
      <c r="E541" s="11" t="s">
        <v>411</v>
      </c>
      <c r="F541" s="12">
        <v>2</v>
      </c>
      <c r="G541" s="10" t="s">
        <v>258</v>
      </c>
      <c r="H541" s="13"/>
      <c r="I541" s="13"/>
      <c r="J541" s="10"/>
    </row>
    <row r="542" spans="1:10" x14ac:dyDescent="0.2">
      <c r="A542" s="2" t="s">
        <v>344</v>
      </c>
      <c r="B542" s="9">
        <v>1</v>
      </c>
      <c r="C542" s="9">
        <v>5</v>
      </c>
      <c r="D542" s="10" t="s">
        <v>22</v>
      </c>
      <c r="E542" s="11" t="s">
        <v>421</v>
      </c>
      <c r="F542" s="12">
        <v>2</v>
      </c>
      <c r="G542" s="10" t="s">
        <v>258</v>
      </c>
      <c r="H542" s="13"/>
      <c r="I542" s="13"/>
      <c r="J542" s="10"/>
    </row>
    <row r="543" spans="1:10" ht="114" x14ac:dyDescent="0.2">
      <c r="A543" s="2" t="s">
        <v>344</v>
      </c>
      <c r="B543" s="9">
        <v>1</v>
      </c>
      <c r="C543" s="9">
        <v>5</v>
      </c>
      <c r="D543" s="10" t="s">
        <v>24</v>
      </c>
      <c r="E543" s="11" t="s">
        <v>422</v>
      </c>
      <c r="F543" s="12">
        <v>56.999999999999993</v>
      </c>
      <c r="G543" s="10" t="s">
        <v>83</v>
      </c>
      <c r="H543" s="13"/>
      <c r="I543" s="13"/>
      <c r="J543" s="10"/>
    </row>
    <row r="544" spans="1:10" x14ac:dyDescent="0.2">
      <c r="A544" s="2" t="s">
        <v>344</v>
      </c>
      <c r="B544" s="9">
        <v>1</v>
      </c>
      <c r="C544" s="9">
        <v>5</v>
      </c>
      <c r="D544" s="10" t="s">
        <v>27</v>
      </c>
      <c r="E544" s="11" t="s">
        <v>411</v>
      </c>
      <c r="F544" s="12">
        <v>24</v>
      </c>
      <c r="G544" s="10" t="s">
        <v>258</v>
      </c>
      <c r="H544" s="13"/>
      <c r="I544" s="13"/>
      <c r="J544" s="10"/>
    </row>
    <row r="545" spans="1:10" x14ac:dyDescent="0.2">
      <c r="A545" s="2" t="s">
        <v>344</v>
      </c>
      <c r="B545" s="9">
        <v>1</v>
      </c>
      <c r="C545" s="9">
        <v>5</v>
      </c>
      <c r="D545" s="10" t="s">
        <v>29</v>
      </c>
      <c r="E545" s="11" t="s">
        <v>421</v>
      </c>
      <c r="F545" s="12">
        <v>24</v>
      </c>
      <c r="G545" s="10" t="s">
        <v>258</v>
      </c>
      <c r="H545" s="13"/>
      <c r="I545" s="13"/>
      <c r="J545" s="10"/>
    </row>
    <row r="546" spans="1:10" ht="44.25" x14ac:dyDescent="0.2">
      <c r="A546" s="2" t="s">
        <v>344</v>
      </c>
      <c r="B546" s="9">
        <v>1</v>
      </c>
      <c r="C546" s="9">
        <v>5</v>
      </c>
      <c r="D546" s="10" t="s">
        <v>32</v>
      </c>
      <c r="E546" s="11" t="s">
        <v>423</v>
      </c>
      <c r="F546" s="12">
        <v>1</v>
      </c>
      <c r="G546" s="10" t="s">
        <v>100</v>
      </c>
      <c r="H546" s="13"/>
      <c r="I546" s="13"/>
      <c r="J546" s="10"/>
    </row>
    <row r="547" spans="1:10" x14ac:dyDescent="0.2">
      <c r="A547" s="1" t="s">
        <v>424</v>
      </c>
      <c r="B547" s="1"/>
      <c r="C547" s="1"/>
      <c r="D547" s="1"/>
      <c r="E547" s="1"/>
      <c r="F547" s="1"/>
      <c r="G547" s="1"/>
      <c r="H547" s="1" t="s">
        <v>67</v>
      </c>
      <c r="I547" s="13">
        <f>I539+I540+I541+I542+I543+I544+I545+I546</f>
        <v>0</v>
      </c>
      <c r="J547" s="1"/>
    </row>
    <row r="550" spans="1:10" ht="15" x14ac:dyDescent="0.25">
      <c r="A550" s="21" t="s">
        <v>425</v>
      </c>
      <c r="B550" s="22"/>
      <c r="C550" s="22"/>
      <c r="D550" s="22"/>
      <c r="E550" s="22"/>
      <c r="F550" s="22"/>
      <c r="G550" s="22"/>
      <c r="H550" s="22"/>
      <c r="I550" s="22"/>
      <c r="J550" s="22"/>
    </row>
    <row r="551" spans="1:10" ht="15" x14ac:dyDescent="0.25">
      <c r="A551" s="21" t="s">
        <v>343</v>
      </c>
      <c r="B551" s="22"/>
      <c r="C551" s="22"/>
      <c r="D551" s="22"/>
      <c r="E551" s="22"/>
      <c r="F551" s="22"/>
      <c r="G551" s="22"/>
      <c r="H551" s="22"/>
      <c r="I551" s="22"/>
      <c r="J551" s="22"/>
    </row>
    <row r="553" spans="1:10" ht="15" x14ac:dyDescent="0.25">
      <c r="A553" s="3" t="s">
        <v>2</v>
      </c>
      <c r="B553" s="3" t="s">
        <v>3</v>
      </c>
      <c r="C553" s="3" t="s">
        <v>4</v>
      </c>
      <c r="D553" s="3" t="s">
        <v>5</v>
      </c>
      <c r="E553" s="3" t="s">
        <v>6</v>
      </c>
      <c r="F553" s="7" t="s">
        <v>7</v>
      </c>
      <c r="G553" s="3" t="s">
        <v>8</v>
      </c>
      <c r="H553" s="7" t="s">
        <v>9</v>
      </c>
      <c r="I553" s="7" t="s">
        <v>10</v>
      </c>
      <c r="J553" s="3" t="s">
        <v>11</v>
      </c>
    </row>
    <row r="554" spans="1:10" ht="44.25" x14ac:dyDescent="0.2">
      <c r="A554" s="2" t="s">
        <v>344</v>
      </c>
      <c r="B554" s="9">
        <v>1</v>
      </c>
      <c r="C554" s="9">
        <v>6</v>
      </c>
      <c r="D554" s="10" t="s">
        <v>13</v>
      </c>
      <c r="E554" s="11" t="s">
        <v>426</v>
      </c>
      <c r="F554" s="12">
        <v>1</v>
      </c>
      <c r="G554" s="10" t="s">
        <v>127</v>
      </c>
      <c r="H554" s="13"/>
      <c r="I554" s="6"/>
      <c r="J554" s="10"/>
    </row>
    <row r="555" spans="1:10" ht="74.25" x14ac:dyDescent="0.2">
      <c r="A555" s="2" t="s">
        <v>344</v>
      </c>
      <c r="B555" s="9">
        <v>1</v>
      </c>
      <c r="C555" s="9">
        <v>6</v>
      </c>
      <c r="D555" s="10" t="s">
        <v>16</v>
      </c>
      <c r="E555" s="11" t="s">
        <v>427</v>
      </c>
      <c r="F555" s="12">
        <v>49</v>
      </c>
      <c r="G555" s="10" t="s">
        <v>83</v>
      </c>
      <c r="H555" s="13"/>
      <c r="I555" s="13"/>
      <c r="J555" s="10"/>
    </row>
    <row r="556" spans="1:10" x14ac:dyDescent="0.2">
      <c r="A556" s="2" t="s">
        <v>344</v>
      </c>
      <c r="B556" s="9">
        <v>1</v>
      </c>
      <c r="C556" s="9">
        <v>6</v>
      </c>
      <c r="D556" s="10" t="s">
        <v>18</v>
      </c>
      <c r="E556" s="11" t="s">
        <v>428</v>
      </c>
      <c r="F556" s="12">
        <v>44</v>
      </c>
      <c r="G556" s="10" t="s">
        <v>83</v>
      </c>
      <c r="H556" s="13"/>
      <c r="I556" s="13"/>
      <c r="J556" s="10"/>
    </row>
    <row r="557" spans="1:10" x14ac:dyDescent="0.2">
      <c r="A557" s="2" t="s">
        <v>344</v>
      </c>
      <c r="B557" s="9">
        <v>1</v>
      </c>
      <c r="C557" s="9">
        <v>6</v>
      </c>
      <c r="D557" s="10" t="s">
        <v>20</v>
      </c>
      <c r="E557" s="11" t="s">
        <v>429</v>
      </c>
      <c r="F557" s="12">
        <v>30</v>
      </c>
      <c r="G557" s="10" t="s">
        <v>258</v>
      </c>
      <c r="H557" s="13"/>
      <c r="I557" s="13"/>
      <c r="J557" s="10"/>
    </row>
    <row r="558" spans="1:10" x14ac:dyDescent="0.2">
      <c r="A558" s="2" t="s">
        <v>344</v>
      </c>
      <c r="B558" s="9">
        <v>1</v>
      </c>
      <c r="C558" s="9">
        <v>6</v>
      </c>
      <c r="D558" s="10" t="s">
        <v>22</v>
      </c>
      <c r="E558" s="11" t="s">
        <v>430</v>
      </c>
      <c r="F558" s="12">
        <v>2</v>
      </c>
      <c r="G558" s="10" t="s">
        <v>258</v>
      </c>
      <c r="H558" s="13"/>
      <c r="I558" s="13"/>
      <c r="J558" s="10"/>
    </row>
    <row r="559" spans="1:10" x14ac:dyDescent="0.2">
      <c r="A559" s="2" t="s">
        <v>344</v>
      </c>
      <c r="B559" s="9">
        <v>1</v>
      </c>
      <c r="C559" s="9">
        <v>6</v>
      </c>
      <c r="D559" s="10" t="s">
        <v>24</v>
      </c>
      <c r="E559" s="11" t="s">
        <v>431</v>
      </c>
      <c r="F559" s="12">
        <v>2</v>
      </c>
      <c r="G559" s="10" t="s">
        <v>258</v>
      </c>
      <c r="H559" s="13"/>
      <c r="I559" s="13"/>
      <c r="J559" s="10"/>
    </row>
    <row r="560" spans="1:10" x14ac:dyDescent="0.2">
      <c r="A560" s="2" t="s">
        <v>344</v>
      </c>
      <c r="B560" s="9">
        <v>1</v>
      </c>
      <c r="C560" s="9">
        <v>6</v>
      </c>
      <c r="D560" s="10" t="s">
        <v>27</v>
      </c>
      <c r="E560" s="11" t="s">
        <v>432</v>
      </c>
      <c r="F560" s="12">
        <v>16</v>
      </c>
      <c r="G560" s="10" t="s">
        <v>258</v>
      </c>
      <c r="H560" s="13"/>
      <c r="I560" s="13"/>
      <c r="J560" s="10"/>
    </row>
    <row r="561" spans="1:10" x14ac:dyDescent="0.2">
      <c r="A561" s="2" t="s">
        <v>344</v>
      </c>
      <c r="B561" s="9">
        <v>1</v>
      </c>
      <c r="C561" s="9">
        <v>6</v>
      </c>
      <c r="D561" s="10" t="s">
        <v>29</v>
      </c>
      <c r="E561" s="11" t="s">
        <v>433</v>
      </c>
      <c r="F561" s="12">
        <v>16</v>
      </c>
      <c r="G561" s="10" t="s">
        <v>258</v>
      </c>
      <c r="H561" s="13"/>
      <c r="I561" s="13"/>
      <c r="J561" s="10"/>
    </row>
    <row r="562" spans="1:10" x14ac:dyDescent="0.2">
      <c r="A562" s="2" t="s">
        <v>344</v>
      </c>
      <c r="B562" s="9">
        <v>1</v>
      </c>
      <c r="C562" s="9">
        <v>6</v>
      </c>
      <c r="D562" s="10" t="s">
        <v>32</v>
      </c>
      <c r="E562" s="11" t="s">
        <v>434</v>
      </c>
      <c r="F562" s="12">
        <v>4</v>
      </c>
      <c r="G562" s="10" t="s">
        <v>258</v>
      </c>
      <c r="H562" s="13"/>
      <c r="I562" s="13"/>
      <c r="J562" s="10"/>
    </row>
    <row r="563" spans="1:10" ht="44.25" x14ac:dyDescent="0.2">
      <c r="A563" s="2" t="s">
        <v>344</v>
      </c>
      <c r="B563" s="9">
        <v>1</v>
      </c>
      <c r="C563" s="9">
        <v>6</v>
      </c>
      <c r="D563" s="10" t="s">
        <v>33</v>
      </c>
      <c r="E563" s="11" t="s">
        <v>435</v>
      </c>
      <c r="F563" s="12">
        <v>1</v>
      </c>
      <c r="G563" s="10" t="s">
        <v>127</v>
      </c>
      <c r="H563" s="13"/>
      <c r="I563" s="6"/>
      <c r="J563" s="10"/>
    </row>
    <row r="564" spans="1:10" x14ac:dyDescent="0.2">
      <c r="A564" s="2" t="s">
        <v>344</v>
      </c>
      <c r="B564" s="9">
        <v>1</v>
      </c>
      <c r="C564" s="9">
        <v>6</v>
      </c>
      <c r="D564" s="10" t="s">
        <v>34</v>
      </c>
      <c r="E564" s="11" t="s">
        <v>436</v>
      </c>
      <c r="F564" s="12">
        <v>1</v>
      </c>
      <c r="G564" s="10" t="s">
        <v>127</v>
      </c>
      <c r="H564" s="13"/>
      <c r="I564" s="13"/>
      <c r="J564" s="10"/>
    </row>
    <row r="565" spans="1:10" x14ac:dyDescent="0.2">
      <c r="A565" s="2" t="s">
        <v>344</v>
      </c>
      <c r="B565" s="9">
        <v>1</v>
      </c>
      <c r="C565" s="9">
        <v>6</v>
      </c>
      <c r="D565" s="10" t="s">
        <v>35</v>
      </c>
      <c r="E565" s="11" t="s">
        <v>437</v>
      </c>
      <c r="F565" s="12">
        <v>1</v>
      </c>
      <c r="G565" s="10" t="s">
        <v>100</v>
      </c>
      <c r="H565" s="13"/>
      <c r="I565" s="13"/>
      <c r="J565" s="10"/>
    </row>
    <row r="566" spans="1:10" ht="44.25" x14ac:dyDescent="0.2">
      <c r="A566" s="2" t="s">
        <v>344</v>
      </c>
      <c r="B566" s="9">
        <v>1</v>
      </c>
      <c r="C566" s="9">
        <v>6</v>
      </c>
      <c r="D566" s="10" t="s">
        <v>36</v>
      </c>
      <c r="E566" s="11" t="s">
        <v>438</v>
      </c>
      <c r="F566" s="12">
        <v>166</v>
      </c>
      <c r="G566" s="10" t="s">
        <v>258</v>
      </c>
      <c r="H566" s="13"/>
      <c r="I566" s="6"/>
      <c r="J566" s="10"/>
    </row>
    <row r="567" spans="1:10" ht="44.25" x14ac:dyDescent="0.2">
      <c r="A567" s="2" t="s">
        <v>344</v>
      </c>
      <c r="B567" s="9">
        <v>1</v>
      </c>
      <c r="C567" s="9">
        <v>6</v>
      </c>
      <c r="D567" s="10" t="s">
        <v>38</v>
      </c>
      <c r="E567" s="11" t="s">
        <v>439</v>
      </c>
      <c r="F567" s="12">
        <v>1</v>
      </c>
      <c r="G567" s="10" t="s">
        <v>100</v>
      </c>
      <c r="H567" s="13"/>
      <c r="I567" s="6"/>
      <c r="J567" s="10"/>
    </row>
    <row r="568" spans="1:10" x14ac:dyDescent="0.2">
      <c r="A568" s="1" t="s">
        <v>440</v>
      </c>
      <c r="B568" s="1"/>
      <c r="C568" s="1"/>
      <c r="D568" s="1"/>
      <c r="E568" s="1"/>
      <c r="F568" s="1"/>
      <c r="G568" s="1"/>
      <c r="H568" s="1" t="s">
        <v>67</v>
      </c>
      <c r="I568" s="13">
        <f>I555+I556+I557+I558+I559+I560+I561+I562+I564+I565</f>
        <v>0</v>
      </c>
      <c r="J568" s="1"/>
    </row>
    <row r="571" spans="1:10" ht="15" x14ac:dyDescent="0.25">
      <c r="A571" s="21" t="s">
        <v>441</v>
      </c>
      <c r="B571" s="22"/>
      <c r="C571" s="22"/>
      <c r="D571" s="22"/>
      <c r="E571" s="22"/>
      <c r="F571" s="22"/>
      <c r="G571" s="22"/>
      <c r="H571" s="22"/>
      <c r="I571" s="22"/>
      <c r="J571" s="22"/>
    </row>
    <row r="572" spans="1:10" ht="15" x14ac:dyDescent="0.25">
      <c r="A572" s="21" t="s">
        <v>343</v>
      </c>
      <c r="B572" s="22"/>
      <c r="C572" s="22"/>
      <c r="D572" s="22"/>
      <c r="E572" s="22"/>
      <c r="F572" s="22"/>
      <c r="G572" s="22"/>
      <c r="H572" s="22"/>
      <c r="I572" s="22"/>
      <c r="J572" s="22"/>
    </row>
    <row r="574" spans="1:10" ht="15" x14ac:dyDescent="0.25">
      <c r="A574" s="3" t="s">
        <v>2</v>
      </c>
      <c r="B574" s="3" t="s">
        <v>3</v>
      </c>
      <c r="C574" s="3" t="s">
        <v>4</v>
      </c>
      <c r="D574" s="3" t="s">
        <v>5</v>
      </c>
      <c r="E574" s="3" t="s">
        <v>6</v>
      </c>
      <c r="F574" s="7" t="s">
        <v>7</v>
      </c>
      <c r="G574" s="3" t="s">
        <v>8</v>
      </c>
      <c r="H574" s="7" t="s">
        <v>9</v>
      </c>
      <c r="I574" s="7" t="s">
        <v>10</v>
      </c>
      <c r="J574" s="3" t="s">
        <v>11</v>
      </c>
    </row>
    <row r="575" spans="1:10" ht="134.25" x14ac:dyDescent="0.2">
      <c r="A575" s="2" t="s">
        <v>344</v>
      </c>
      <c r="B575" s="9">
        <v>1</v>
      </c>
      <c r="C575" s="9">
        <v>7</v>
      </c>
      <c r="D575" s="10" t="s">
        <v>13</v>
      </c>
      <c r="E575" s="11" t="s">
        <v>442</v>
      </c>
      <c r="F575" s="12">
        <v>15</v>
      </c>
      <c r="G575" s="10" t="s">
        <v>79</v>
      </c>
      <c r="H575" s="13"/>
      <c r="I575" s="13"/>
      <c r="J575" s="10"/>
    </row>
    <row r="576" spans="1:10" x14ac:dyDescent="0.2">
      <c r="A576" s="2" t="s">
        <v>344</v>
      </c>
      <c r="B576" s="9">
        <v>1</v>
      </c>
      <c r="C576" s="9">
        <v>7</v>
      </c>
      <c r="D576" s="10" t="s">
        <v>16</v>
      </c>
      <c r="E576" s="11" t="s">
        <v>443</v>
      </c>
      <c r="F576" s="12">
        <v>5</v>
      </c>
      <c r="G576" s="10" t="s">
        <v>79</v>
      </c>
      <c r="H576" s="13"/>
      <c r="I576" s="13"/>
      <c r="J576" s="10"/>
    </row>
    <row r="577" spans="1:10" ht="193.5" x14ac:dyDescent="0.2">
      <c r="A577" s="2" t="s">
        <v>344</v>
      </c>
      <c r="B577" s="9">
        <v>1</v>
      </c>
      <c r="C577" s="9">
        <v>7</v>
      </c>
      <c r="D577" s="10" t="s">
        <v>18</v>
      </c>
      <c r="E577" s="11" t="s">
        <v>444</v>
      </c>
      <c r="F577" s="12">
        <v>8</v>
      </c>
      <c r="G577" s="10" t="s">
        <v>124</v>
      </c>
      <c r="H577" s="13"/>
      <c r="I577" s="13"/>
      <c r="J577" s="10"/>
    </row>
    <row r="578" spans="1:10" ht="28.5" x14ac:dyDescent="0.2">
      <c r="A578" s="2" t="s">
        <v>344</v>
      </c>
      <c r="B578" s="9">
        <v>1</v>
      </c>
      <c r="C578" s="9">
        <v>7</v>
      </c>
      <c r="D578" s="10" t="s">
        <v>20</v>
      </c>
      <c r="E578" s="11" t="s">
        <v>445</v>
      </c>
      <c r="F578" s="12">
        <v>8</v>
      </c>
      <c r="G578" s="10" t="s">
        <v>124</v>
      </c>
      <c r="H578" s="13"/>
      <c r="I578" s="13"/>
      <c r="J578" s="10"/>
    </row>
    <row r="579" spans="1:10" ht="28.5" x14ac:dyDescent="0.2">
      <c r="A579" s="2" t="s">
        <v>344</v>
      </c>
      <c r="B579" s="9">
        <v>1</v>
      </c>
      <c r="C579" s="9">
        <v>7</v>
      </c>
      <c r="D579" s="10" t="s">
        <v>22</v>
      </c>
      <c r="E579" s="11" t="s">
        <v>446</v>
      </c>
      <c r="F579" s="12">
        <v>4</v>
      </c>
      <c r="G579" s="10" t="s">
        <v>124</v>
      </c>
      <c r="H579" s="13"/>
      <c r="I579" s="13"/>
      <c r="J579" s="10"/>
    </row>
    <row r="580" spans="1:10" x14ac:dyDescent="0.2">
      <c r="A580" s="2" t="s">
        <v>344</v>
      </c>
      <c r="B580" s="9">
        <v>1</v>
      </c>
      <c r="C580" s="9">
        <v>7</v>
      </c>
      <c r="D580" s="10" t="s">
        <v>24</v>
      </c>
      <c r="E580" s="11" t="s">
        <v>447</v>
      </c>
      <c r="F580" s="12">
        <v>57.999999999999993</v>
      </c>
      <c r="G580" s="10" t="s">
        <v>83</v>
      </c>
      <c r="H580" s="13"/>
      <c r="I580" s="13"/>
      <c r="J580" s="10"/>
    </row>
    <row r="581" spans="1:10" ht="44.25" x14ac:dyDescent="0.2">
      <c r="A581" s="2" t="s">
        <v>344</v>
      </c>
      <c r="B581" s="9">
        <v>1</v>
      </c>
      <c r="C581" s="9">
        <v>7</v>
      </c>
      <c r="D581" s="10" t="s">
        <v>27</v>
      </c>
      <c r="E581" s="11" t="s">
        <v>448</v>
      </c>
      <c r="F581" s="12">
        <v>9</v>
      </c>
      <c r="G581" s="10" t="s">
        <v>124</v>
      </c>
      <c r="H581" s="13"/>
      <c r="I581" s="6"/>
      <c r="J581" s="10"/>
    </row>
    <row r="582" spans="1:10" x14ac:dyDescent="0.2">
      <c r="A582" s="2" t="s">
        <v>344</v>
      </c>
      <c r="B582" s="9">
        <v>1</v>
      </c>
      <c r="C582" s="9">
        <v>7</v>
      </c>
      <c r="D582" s="10" t="s">
        <v>29</v>
      </c>
      <c r="E582" s="11" t="s">
        <v>449</v>
      </c>
      <c r="F582" s="12">
        <v>47</v>
      </c>
      <c r="G582" s="10" t="s">
        <v>124</v>
      </c>
      <c r="H582" s="13"/>
      <c r="I582" s="6"/>
      <c r="J582" s="10"/>
    </row>
    <row r="583" spans="1:10" ht="28.5" x14ac:dyDescent="0.2">
      <c r="A583" s="2" t="s">
        <v>344</v>
      </c>
      <c r="B583" s="9">
        <v>1</v>
      </c>
      <c r="C583" s="9">
        <v>7</v>
      </c>
      <c r="D583" s="10" t="s">
        <v>32</v>
      </c>
      <c r="E583" s="11" t="s">
        <v>450</v>
      </c>
      <c r="F583" s="12">
        <v>94</v>
      </c>
      <c r="G583" s="10" t="s">
        <v>124</v>
      </c>
      <c r="H583" s="13"/>
      <c r="I583" s="6"/>
      <c r="J583" s="10"/>
    </row>
    <row r="584" spans="1:10" x14ac:dyDescent="0.2">
      <c r="A584" s="2" t="s">
        <v>344</v>
      </c>
      <c r="B584" s="9">
        <v>1</v>
      </c>
      <c r="C584" s="9">
        <v>7</v>
      </c>
      <c r="D584" s="10" t="s">
        <v>33</v>
      </c>
      <c r="E584" s="11" t="s">
        <v>451</v>
      </c>
      <c r="F584" s="12">
        <v>80</v>
      </c>
      <c r="G584" s="10" t="s">
        <v>124</v>
      </c>
      <c r="H584" s="13"/>
      <c r="I584" s="6"/>
      <c r="J584" s="10"/>
    </row>
    <row r="585" spans="1:10" x14ac:dyDescent="0.2">
      <c r="A585" s="2" t="s">
        <v>344</v>
      </c>
      <c r="B585" s="9">
        <v>1</v>
      </c>
      <c r="C585" s="9">
        <v>7</v>
      </c>
      <c r="D585" s="10" t="s">
        <v>34</v>
      </c>
      <c r="E585" s="11" t="s">
        <v>452</v>
      </c>
      <c r="F585" s="12">
        <v>142</v>
      </c>
      <c r="G585" s="10" t="s">
        <v>124</v>
      </c>
      <c r="H585" s="13"/>
      <c r="I585" s="6"/>
      <c r="J585" s="10"/>
    </row>
    <row r="586" spans="1:10" ht="58.5" x14ac:dyDescent="0.2">
      <c r="A586" s="2" t="s">
        <v>344</v>
      </c>
      <c r="B586" s="9">
        <v>1</v>
      </c>
      <c r="C586" s="9">
        <v>7</v>
      </c>
      <c r="D586" s="10" t="s">
        <v>35</v>
      </c>
      <c r="E586" s="11" t="s">
        <v>453</v>
      </c>
      <c r="F586" s="12">
        <v>1</v>
      </c>
      <c r="G586" s="10" t="s">
        <v>100</v>
      </c>
      <c r="H586" s="13"/>
      <c r="I586" s="6"/>
      <c r="J586" s="10"/>
    </row>
    <row r="587" spans="1:10" x14ac:dyDescent="0.2">
      <c r="A587" s="1" t="s">
        <v>454</v>
      </c>
      <c r="B587" s="1"/>
      <c r="C587" s="1"/>
      <c r="D587" s="1"/>
      <c r="E587" s="1"/>
      <c r="F587" s="1"/>
      <c r="G587" s="1"/>
      <c r="H587" s="1" t="s">
        <v>67</v>
      </c>
      <c r="I587" s="13">
        <f>I575+I576+I577+I578+I579+I580</f>
        <v>0</v>
      </c>
      <c r="J587" s="1"/>
    </row>
    <row r="595" spans="1:9" ht="15" x14ac:dyDescent="0.25">
      <c r="A595" s="3" t="s">
        <v>89</v>
      </c>
      <c r="B595" s="14"/>
      <c r="C595" s="14"/>
      <c r="D595" s="14"/>
      <c r="E595" s="14"/>
      <c r="F595" s="14"/>
      <c r="G595" s="14"/>
      <c r="H595" s="14"/>
      <c r="I595" s="7" t="s">
        <v>90</v>
      </c>
    </row>
    <row r="596" spans="1:9" x14ac:dyDescent="0.2">
      <c r="A596" s="15" t="s">
        <v>455</v>
      </c>
      <c r="I596" s="16">
        <f>I453</f>
        <v>0</v>
      </c>
    </row>
    <row r="597" spans="1:9" x14ac:dyDescent="0.2">
      <c r="A597" s="15" t="s">
        <v>456</v>
      </c>
      <c r="I597" s="16">
        <f>I483</f>
        <v>0</v>
      </c>
    </row>
    <row r="598" spans="1:9" x14ac:dyDescent="0.2">
      <c r="A598" s="15" t="s">
        <v>457</v>
      </c>
      <c r="I598" s="16">
        <f>I506</f>
        <v>0</v>
      </c>
    </row>
    <row r="599" spans="1:9" x14ac:dyDescent="0.2">
      <c r="A599" s="15" t="s">
        <v>458</v>
      </c>
      <c r="I599" s="16">
        <f>I531</f>
        <v>0</v>
      </c>
    </row>
    <row r="600" spans="1:9" x14ac:dyDescent="0.2">
      <c r="A600" s="15" t="s">
        <v>459</v>
      </c>
      <c r="I600" s="16">
        <f>I547</f>
        <v>0</v>
      </c>
    </row>
    <row r="601" spans="1:9" x14ac:dyDescent="0.2">
      <c r="A601" s="15" t="s">
        <v>460</v>
      </c>
      <c r="I601" s="16">
        <f>I568</f>
        <v>0</v>
      </c>
    </row>
    <row r="602" spans="1:9" x14ac:dyDescent="0.2">
      <c r="A602" s="15" t="s">
        <v>461</v>
      </c>
      <c r="I602" s="16">
        <f>I587</f>
        <v>0</v>
      </c>
    </row>
    <row r="603" spans="1:9" x14ac:dyDescent="0.2">
      <c r="A603" s="15"/>
      <c r="I603" s="15"/>
    </row>
    <row r="604" spans="1:9" x14ac:dyDescent="0.2">
      <c r="A604" s="17"/>
      <c r="B604" s="18"/>
      <c r="C604" s="18"/>
      <c r="D604" s="18"/>
      <c r="E604" s="18"/>
      <c r="F604" s="18"/>
      <c r="G604" s="18"/>
      <c r="H604" s="18"/>
      <c r="I604" s="17"/>
    </row>
    <row r="605" spans="1:9" x14ac:dyDescent="0.2">
      <c r="H605" s="4" t="s">
        <v>95</v>
      </c>
      <c r="I605" s="13">
        <f>SUM(I596:I604)</f>
        <v>0</v>
      </c>
    </row>
    <row r="609" spans="1:10" ht="15" x14ac:dyDescent="0.25">
      <c r="A609" s="21" t="s">
        <v>462</v>
      </c>
      <c r="B609" s="22"/>
      <c r="C609" s="22"/>
      <c r="D609" s="22"/>
      <c r="E609" s="22"/>
      <c r="F609" s="22"/>
      <c r="G609" s="22"/>
      <c r="H609" s="22"/>
      <c r="I609" s="22"/>
      <c r="J609" s="22"/>
    </row>
    <row r="610" spans="1:10" ht="15" x14ac:dyDescent="0.25">
      <c r="A610" s="21" t="s">
        <v>463</v>
      </c>
      <c r="B610" s="22"/>
      <c r="C610" s="22"/>
      <c r="D610" s="22"/>
      <c r="E610" s="22"/>
      <c r="F610" s="22"/>
      <c r="G610" s="22"/>
      <c r="H610" s="22"/>
      <c r="I610" s="22"/>
      <c r="J610" s="22"/>
    </row>
    <row r="612" spans="1:10" ht="15" x14ac:dyDescent="0.25">
      <c r="A612" s="3" t="s">
        <v>2</v>
      </c>
      <c r="B612" s="3" t="s">
        <v>3</v>
      </c>
      <c r="C612" s="3" t="s">
        <v>4</v>
      </c>
      <c r="D612" s="3" t="s">
        <v>5</v>
      </c>
      <c r="E612" s="3" t="s">
        <v>6</v>
      </c>
      <c r="F612" s="7" t="s">
        <v>7</v>
      </c>
      <c r="G612" s="3" t="s">
        <v>8</v>
      </c>
      <c r="H612" s="7" t="s">
        <v>9</v>
      </c>
      <c r="I612" s="7" t="s">
        <v>10</v>
      </c>
      <c r="J612" s="3" t="s">
        <v>11</v>
      </c>
    </row>
    <row r="613" spans="1:10" ht="179.25" x14ac:dyDescent="0.2">
      <c r="A613" s="2" t="s">
        <v>464</v>
      </c>
      <c r="B613" s="9">
        <v>1</v>
      </c>
      <c r="C613" s="9">
        <v>1</v>
      </c>
      <c r="D613" s="10" t="s">
        <v>13</v>
      </c>
      <c r="E613" s="11" t="s">
        <v>465</v>
      </c>
      <c r="F613" s="12">
        <v>1</v>
      </c>
      <c r="G613" s="10" t="s">
        <v>100</v>
      </c>
      <c r="H613" s="13"/>
      <c r="I613" s="6"/>
      <c r="J613" s="10"/>
    </row>
    <row r="614" spans="1:10" x14ac:dyDescent="0.2">
      <c r="A614" s="2" t="s">
        <v>464</v>
      </c>
      <c r="B614" s="9">
        <v>1</v>
      </c>
      <c r="C614" s="9">
        <v>1</v>
      </c>
      <c r="D614" s="10" t="s">
        <v>16</v>
      </c>
      <c r="E614" s="11" t="s">
        <v>466</v>
      </c>
      <c r="F614" s="12">
        <v>1</v>
      </c>
      <c r="G614" s="10" t="s">
        <v>100</v>
      </c>
      <c r="H614" s="13"/>
      <c r="I614" s="6"/>
      <c r="J614" s="10"/>
    </row>
    <row r="615" spans="1:10" ht="57" x14ac:dyDescent="0.2">
      <c r="A615" s="2" t="s">
        <v>464</v>
      </c>
      <c r="B615" s="9">
        <v>1</v>
      </c>
      <c r="C615" s="9">
        <v>1</v>
      </c>
      <c r="D615" s="10" t="s">
        <v>18</v>
      </c>
      <c r="E615" s="11" t="s">
        <v>467</v>
      </c>
      <c r="F615" s="12">
        <v>1</v>
      </c>
      <c r="G615" s="10" t="s">
        <v>258</v>
      </c>
      <c r="H615" s="13"/>
      <c r="I615" s="13"/>
      <c r="J615" s="10"/>
    </row>
    <row r="616" spans="1:10" ht="57" x14ac:dyDescent="0.2">
      <c r="A616" s="2" t="s">
        <v>464</v>
      </c>
      <c r="B616" s="9">
        <v>1</v>
      </c>
      <c r="C616" s="9">
        <v>1</v>
      </c>
      <c r="D616" s="10" t="s">
        <v>20</v>
      </c>
      <c r="E616" s="11" t="s">
        <v>468</v>
      </c>
      <c r="F616" s="12">
        <v>1</v>
      </c>
      <c r="G616" s="10" t="s">
        <v>258</v>
      </c>
      <c r="H616" s="13"/>
      <c r="I616" s="13"/>
      <c r="J616" s="10"/>
    </row>
    <row r="617" spans="1:10" ht="28.5" x14ac:dyDescent="0.2">
      <c r="A617" s="2" t="s">
        <v>464</v>
      </c>
      <c r="B617" s="9">
        <v>1</v>
      </c>
      <c r="C617" s="9">
        <v>1</v>
      </c>
      <c r="D617" s="10" t="s">
        <v>22</v>
      </c>
      <c r="E617" s="11" t="s">
        <v>469</v>
      </c>
      <c r="F617" s="12">
        <v>9</v>
      </c>
      <c r="G617" s="10" t="s">
        <v>258</v>
      </c>
      <c r="H617" s="13"/>
      <c r="I617" s="13"/>
      <c r="J617" s="10"/>
    </row>
    <row r="618" spans="1:10" x14ac:dyDescent="0.2">
      <c r="A618" s="2" t="s">
        <v>464</v>
      </c>
      <c r="B618" s="9">
        <v>1</v>
      </c>
      <c r="C618" s="9">
        <v>1</v>
      </c>
      <c r="D618" s="10" t="s">
        <v>24</v>
      </c>
      <c r="E618" s="11" t="s">
        <v>470</v>
      </c>
      <c r="F618" s="12">
        <v>1</v>
      </c>
      <c r="G618" s="10" t="s">
        <v>100</v>
      </c>
      <c r="H618" s="13"/>
      <c r="I618" s="6"/>
      <c r="J618" s="10"/>
    </row>
    <row r="619" spans="1:10" x14ac:dyDescent="0.2">
      <c r="A619" s="2" t="s">
        <v>464</v>
      </c>
      <c r="B619" s="9">
        <v>1</v>
      </c>
      <c r="C619" s="9">
        <v>1</v>
      </c>
      <c r="D619" s="10" t="s">
        <v>27</v>
      </c>
      <c r="E619" s="11" t="s">
        <v>471</v>
      </c>
      <c r="F619" s="12">
        <v>18</v>
      </c>
      <c r="G619" s="10" t="s">
        <v>258</v>
      </c>
      <c r="H619" s="13"/>
      <c r="I619" s="13"/>
      <c r="J619" s="10"/>
    </row>
    <row r="620" spans="1:10" x14ac:dyDescent="0.2">
      <c r="A620" s="2" t="s">
        <v>464</v>
      </c>
      <c r="B620" s="9">
        <v>1</v>
      </c>
      <c r="C620" s="9">
        <v>1</v>
      </c>
      <c r="D620" s="10" t="s">
        <v>29</v>
      </c>
      <c r="E620" s="11" t="s">
        <v>472</v>
      </c>
      <c r="F620" s="12">
        <v>9</v>
      </c>
      <c r="G620" s="10" t="s">
        <v>258</v>
      </c>
      <c r="H620" s="13"/>
      <c r="I620" s="13"/>
      <c r="J620" s="10"/>
    </row>
    <row r="621" spans="1:10" ht="144" x14ac:dyDescent="0.2">
      <c r="A621" s="2" t="s">
        <v>464</v>
      </c>
      <c r="B621" s="9">
        <v>1</v>
      </c>
      <c r="C621" s="9">
        <v>1</v>
      </c>
      <c r="D621" s="10" t="s">
        <v>32</v>
      </c>
      <c r="E621" s="11" t="s">
        <v>473</v>
      </c>
      <c r="F621" s="12">
        <v>1</v>
      </c>
      <c r="G621" s="10" t="s">
        <v>100</v>
      </c>
      <c r="H621" s="13"/>
      <c r="I621" s="13"/>
      <c r="J621" s="10"/>
    </row>
    <row r="622" spans="1:10" ht="101.25" x14ac:dyDescent="0.2">
      <c r="A622" s="2" t="s">
        <v>464</v>
      </c>
      <c r="B622" s="9">
        <v>1</v>
      </c>
      <c r="C622" s="9">
        <v>1</v>
      </c>
      <c r="D622" s="10" t="s">
        <v>33</v>
      </c>
      <c r="E622" s="11" t="s">
        <v>474</v>
      </c>
      <c r="F622" s="12">
        <v>1</v>
      </c>
      <c r="G622" s="10" t="s">
        <v>100</v>
      </c>
      <c r="H622" s="13"/>
      <c r="I622" s="13"/>
      <c r="J622" s="10"/>
    </row>
    <row r="623" spans="1:10" x14ac:dyDescent="0.2">
      <c r="A623" s="1" t="s">
        <v>475</v>
      </c>
      <c r="B623" s="1"/>
      <c r="C623" s="1"/>
      <c r="D623" s="1"/>
      <c r="E623" s="1"/>
      <c r="F623" s="1"/>
      <c r="G623" s="1"/>
      <c r="H623" s="1" t="s">
        <v>67</v>
      </c>
      <c r="I623" s="13">
        <f>I615+I616+I617+I619+I620+I621+I622</f>
        <v>0</v>
      </c>
      <c r="J623" s="1"/>
    </row>
    <row r="626" spans="1:10" ht="15" x14ac:dyDescent="0.25">
      <c r="A626" s="21" t="s">
        <v>476</v>
      </c>
      <c r="B626" s="22"/>
      <c r="C626" s="22"/>
      <c r="D626" s="22"/>
      <c r="E626" s="22"/>
      <c r="F626" s="22"/>
      <c r="G626" s="22"/>
      <c r="H626" s="22"/>
      <c r="I626" s="22"/>
      <c r="J626" s="22"/>
    </row>
    <row r="627" spans="1:10" ht="15" x14ac:dyDescent="0.25">
      <c r="A627" s="21" t="s">
        <v>463</v>
      </c>
      <c r="B627" s="22"/>
      <c r="C627" s="22"/>
      <c r="D627" s="22"/>
      <c r="E627" s="22"/>
      <c r="F627" s="22"/>
      <c r="G627" s="22"/>
      <c r="H627" s="22"/>
      <c r="I627" s="22"/>
      <c r="J627" s="22"/>
    </row>
    <row r="629" spans="1:10" ht="15" x14ac:dyDescent="0.25">
      <c r="A629" s="3" t="s">
        <v>2</v>
      </c>
      <c r="B629" s="3" t="s">
        <v>3</v>
      </c>
      <c r="C629" s="3" t="s">
        <v>4</v>
      </c>
      <c r="D629" s="3" t="s">
        <v>5</v>
      </c>
      <c r="E629" s="3" t="s">
        <v>6</v>
      </c>
      <c r="F629" s="7" t="s">
        <v>7</v>
      </c>
      <c r="G629" s="3" t="s">
        <v>8</v>
      </c>
      <c r="H629" s="7" t="s">
        <v>9</v>
      </c>
      <c r="I629" s="7" t="s">
        <v>10</v>
      </c>
      <c r="J629" s="3" t="s">
        <v>11</v>
      </c>
    </row>
    <row r="630" spans="1:10" ht="104.25" x14ac:dyDescent="0.2">
      <c r="A630" s="2" t="s">
        <v>464</v>
      </c>
      <c r="B630" s="9">
        <v>1</v>
      </c>
      <c r="C630" s="9">
        <v>2</v>
      </c>
      <c r="D630" s="10" t="s">
        <v>13</v>
      </c>
      <c r="E630" s="11" t="s">
        <v>477</v>
      </c>
      <c r="F630" s="12">
        <v>0</v>
      </c>
      <c r="G630" s="10" t="s">
        <v>100</v>
      </c>
      <c r="H630" s="13"/>
      <c r="I630" s="13"/>
      <c r="J630" s="10"/>
    </row>
    <row r="631" spans="1:10" ht="57" x14ac:dyDescent="0.2">
      <c r="A631" s="2" t="s">
        <v>464</v>
      </c>
      <c r="B631" s="9">
        <v>1</v>
      </c>
      <c r="C631" s="9">
        <v>2</v>
      </c>
      <c r="D631" s="10" t="s">
        <v>16</v>
      </c>
      <c r="E631" s="11" t="s">
        <v>478</v>
      </c>
      <c r="F631" s="12">
        <v>0</v>
      </c>
      <c r="G631" s="10" t="s">
        <v>258</v>
      </c>
      <c r="H631" s="13"/>
      <c r="I631" s="13"/>
      <c r="J631" s="10"/>
    </row>
    <row r="632" spans="1:10" ht="88.5" x14ac:dyDescent="0.2">
      <c r="A632" s="2" t="s">
        <v>464</v>
      </c>
      <c r="B632" s="9">
        <v>1</v>
      </c>
      <c r="C632" s="9">
        <v>2</v>
      </c>
      <c r="D632" s="10" t="s">
        <v>18</v>
      </c>
      <c r="E632" s="11" t="s">
        <v>479</v>
      </c>
      <c r="F632" s="12">
        <v>0</v>
      </c>
      <c r="G632" s="10" t="s">
        <v>100</v>
      </c>
      <c r="H632" s="13"/>
      <c r="I632" s="13"/>
      <c r="J632" s="10"/>
    </row>
    <row r="633" spans="1:10" ht="28.5" x14ac:dyDescent="0.2">
      <c r="A633" s="2" t="s">
        <v>464</v>
      </c>
      <c r="B633" s="9">
        <v>1</v>
      </c>
      <c r="C633" s="9">
        <v>2</v>
      </c>
      <c r="D633" s="10" t="s">
        <v>20</v>
      </c>
      <c r="E633" s="11" t="s">
        <v>480</v>
      </c>
      <c r="F633" s="12">
        <v>0</v>
      </c>
      <c r="G633" s="10" t="s">
        <v>100</v>
      </c>
      <c r="H633" s="13"/>
      <c r="I633" s="13"/>
      <c r="J633" s="10"/>
    </row>
    <row r="634" spans="1:10" ht="267.75" x14ac:dyDescent="0.2">
      <c r="A634" s="2" t="s">
        <v>464</v>
      </c>
      <c r="B634" s="9">
        <v>1</v>
      </c>
      <c r="C634" s="9">
        <v>2</v>
      </c>
      <c r="D634" s="10" t="s">
        <v>27</v>
      </c>
      <c r="E634" s="11" t="s">
        <v>481</v>
      </c>
      <c r="F634" s="12">
        <v>70</v>
      </c>
      <c r="G634" s="10" t="s">
        <v>83</v>
      </c>
      <c r="H634" s="13"/>
      <c r="I634" s="13"/>
      <c r="J634" s="10"/>
    </row>
    <row r="635" spans="1:10" ht="42.75" x14ac:dyDescent="0.2">
      <c r="A635" s="2" t="s">
        <v>464</v>
      </c>
      <c r="B635" s="9">
        <v>1</v>
      </c>
      <c r="C635" s="9">
        <v>2</v>
      </c>
      <c r="D635" s="10" t="s">
        <v>29</v>
      </c>
      <c r="E635" s="11" t="s">
        <v>482</v>
      </c>
      <c r="F635" s="12">
        <v>17</v>
      </c>
      <c r="G635" s="10" t="s">
        <v>83</v>
      </c>
      <c r="H635" s="13"/>
      <c r="I635" s="13"/>
      <c r="J635" s="10"/>
    </row>
    <row r="636" spans="1:10" ht="148.5" x14ac:dyDescent="0.2">
      <c r="A636" s="2" t="s">
        <v>464</v>
      </c>
      <c r="B636" s="9">
        <v>1</v>
      </c>
      <c r="C636" s="9">
        <v>2</v>
      </c>
      <c r="D636" s="10" t="s">
        <v>32</v>
      </c>
      <c r="E636" s="11" t="s">
        <v>483</v>
      </c>
      <c r="F636" s="12">
        <v>55.000000000000007</v>
      </c>
      <c r="G636" s="10" t="s">
        <v>83</v>
      </c>
      <c r="H636" s="13"/>
      <c r="I636" s="13"/>
      <c r="J636" s="10"/>
    </row>
    <row r="637" spans="1:10" x14ac:dyDescent="0.2">
      <c r="A637" s="2" t="s">
        <v>464</v>
      </c>
      <c r="B637" s="9">
        <v>1</v>
      </c>
      <c r="C637" s="9">
        <v>2</v>
      </c>
      <c r="D637" s="10" t="s">
        <v>34</v>
      </c>
      <c r="E637" s="11" t="s">
        <v>484</v>
      </c>
      <c r="F637" s="12">
        <v>1</v>
      </c>
      <c r="G637" s="10" t="s">
        <v>127</v>
      </c>
      <c r="H637" s="13"/>
      <c r="I637" s="13"/>
      <c r="J637" s="10"/>
    </row>
    <row r="638" spans="1:10" ht="132.75" x14ac:dyDescent="0.2">
      <c r="A638" s="2" t="s">
        <v>464</v>
      </c>
      <c r="B638" s="9">
        <v>1</v>
      </c>
      <c r="C638" s="9">
        <v>2</v>
      </c>
      <c r="D638" s="10" t="s">
        <v>35</v>
      </c>
      <c r="E638" s="11" t="s">
        <v>485</v>
      </c>
      <c r="F638" s="12">
        <v>70</v>
      </c>
      <c r="G638" s="10" t="s">
        <v>83</v>
      </c>
      <c r="H638" s="13"/>
      <c r="I638" s="13"/>
      <c r="J638" s="10"/>
    </row>
    <row r="639" spans="1:10" ht="42.75" x14ac:dyDescent="0.2">
      <c r="A639" s="2" t="s">
        <v>464</v>
      </c>
      <c r="B639" s="9">
        <v>1</v>
      </c>
      <c r="C639" s="9">
        <v>2</v>
      </c>
      <c r="D639" s="10" t="s">
        <v>36</v>
      </c>
      <c r="E639" s="11" t="s">
        <v>486</v>
      </c>
      <c r="F639" s="12">
        <v>51</v>
      </c>
      <c r="G639" s="10" t="s">
        <v>83</v>
      </c>
      <c r="H639" s="13"/>
      <c r="I639" s="13"/>
      <c r="J639" s="10"/>
    </row>
    <row r="640" spans="1:10" ht="74.25" x14ac:dyDescent="0.2">
      <c r="A640" s="2" t="s">
        <v>464</v>
      </c>
      <c r="B640" s="9">
        <v>1</v>
      </c>
      <c r="C640" s="9">
        <v>2</v>
      </c>
      <c r="D640" s="10" t="s">
        <v>40</v>
      </c>
      <c r="E640" s="11" t="s">
        <v>487</v>
      </c>
      <c r="F640" s="12">
        <v>37</v>
      </c>
      <c r="G640" s="10" t="s">
        <v>109</v>
      </c>
      <c r="H640" s="13"/>
      <c r="I640" s="13"/>
      <c r="J640" s="10"/>
    </row>
    <row r="641" spans="1:10" x14ac:dyDescent="0.2">
      <c r="A641" s="2" t="s">
        <v>464</v>
      </c>
      <c r="B641" s="9">
        <v>1</v>
      </c>
      <c r="C641" s="9">
        <v>2</v>
      </c>
      <c r="D641" s="10" t="s">
        <v>42</v>
      </c>
      <c r="E641" s="11" t="s">
        <v>488</v>
      </c>
      <c r="F641" s="12">
        <v>46</v>
      </c>
      <c r="G641" s="10" t="s">
        <v>109</v>
      </c>
      <c r="H641" s="13"/>
      <c r="I641" s="13"/>
      <c r="J641" s="10"/>
    </row>
    <row r="642" spans="1:10" ht="104.25" x14ac:dyDescent="0.2">
      <c r="A642" s="2" t="s">
        <v>464</v>
      </c>
      <c r="B642" s="9">
        <v>1</v>
      </c>
      <c r="C642" s="9">
        <v>2</v>
      </c>
      <c r="D642" s="10" t="s">
        <v>44</v>
      </c>
      <c r="E642" s="11" t="s">
        <v>489</v>
      </c>
      <c r="F642" s="12">
        <v>50</v>
      </c>
      <c r="G642" s="10" t="s">
        <v>83</v>
      </c>
      <c r="H642" s="13"/>
      <c r="I642" s="13"/>
      <c r="J642" s="10"/>
    </row>
    <row r="643" spans="1:10" x14ac:dyDescent="0.2">
      <c r="A643" s="2" t="s">
        <v>464</v>
      </c>
      <c r="B643" s="9">
        <v>1</v>
      </c>
      <c r="C643" s="9">
        <v>2</v>
      </c>
      <c r="D643" s="10" t="s">
        <v>46</v>
      </c>
      <c r="E643" s="11" t="s">
        <v>490</v>
      </c>
      <c r="F643" s="12">
        <v>70</v>
      </c>
      <c r="G643" s="10" t="s">
        <v>83</v>
      </c>
      <c r="H643" s="13"/>
      <c r="I643" s="13"/>
      <c r="J643" s="10"/>
    </row>
    <row r="644" spans="1:10" x14ac:dyDescent="0.2">
      <c r="A644" s="1" t="s">
        <v>491</v>
      </c>
      <c r="B644" s="1"/>
      <c r="C644" s="1"/>
      <c r="D644" s="1"/>
      <c r="E644" s="1"/>
      <c r="F644" s="1"/>
      <c r="G644" s="1"/>
      <c r="H644" s="1" t="s">
        <v>67</v>
      </c>
      <c r="I644" s="13">
        <f>I630+I631+I632+I633+I634+I635+I636+I637+I638+I639+I640+I641+I642+I643</f>
        <v>0</v>
      </c>
      <c r="J644" s="1"/>
    </row>
    <row r="652" spans="1:10" ht="15" x14ac:dyDescent="0.25">
      <c r="A652" s="3" t="s">
        <v>89</v>
      </c>
      <c r="B652" s="14"/>
      <c r="C652" s="14"/>
      <c r="D652" s="14"/>
      <c r="E652" s="14"/>
      <c r="F652" s="14"/>
      <c r="G652" s="14"/>
      <c r="H652" s="14"/>
      <c r="I652" s="7" t="s">
        <v>90</v>
      </c>
    </row>
    <row r="653" spans="1:10" x14ac:dyDescent="0.2">
      <c r="A653" s="15" t="s">
        <v>492</v>
      </c>
      <c r="I653" s="16">
        <f>I623</f>
        <v>0</v>
      </c>
    </row>
    <row r="654" spans="1:10" x14ac:dyDescent="0.2">
      <c r="A654" s="15" t="s">
        <v>493</v>
      </c>
      <c r="I654" s="16">
        <f>I644</f>
        <v>0</v>
      </c>
    </row>
    <row r="655" spans="1:10" x14ac:dyDescent="0.2">
      <c r="A655" s="15"/>
      <c r="I655" s="15"/>
    </row>
    <row r="656" spans="1:10" x14ac:dyDescent="0.2">
      <c r="A656" s="17"/>
      <c r="B656" s="18"/>
      <c r="C656" s="18"/>
      <c r="D656" s="18"/>
      <c r="E656" s="18"/>
      <c r="F656" s="18"/>
      <c r="G656" s="18"/>
      <c r="H656" s="18"/>
      <c r="I656" s="17"/>
    </row>
    <row r="657" spans="1:10" x14ac:dyDescent="0.2">
      <c r="H657" s="4" t="s">
        <v>95</v>
      </c>
      <c r="I657" s="13">
        <f>SUM(I653:I656)</f>
        <v>0</v>
      </c>
    </row>
    <row r="661" spans="1:10" ht="15" x14ac:dyDescent="0.25">
      <c r="A661" s="21" t="s">
        <v>494</v>
      </c>
      <c r="B661" s="22"/>
      <c r="C661" s="22"/>
      <c r="D661" s="22"/>
      <c r="E661" s="22"/>
      <c r="F661" s="22"/>
      <c r="G661" s="22"/>
      <c r="H661" s="22"/>
      <c r="I661" s="22"/>
      <c r="J661" s="22"/>
    </row>
    <row r="662" spans="1:10" ht="15" x14ac:dyDescent="0.25">
      <c r="A662" s="21" t="s">
        <v>495</v>
      </c>
      <c r="B662" s="22"/>
      <c r="C662" s="22"/>
      <c r="D662" s="22"/>
      <c r="E662" s="22"/>
      <c r="F662" s="22"/>
      <c r="G662" s="22"/>
      <c r="H662" s="22"/>
      <c r="I662" s="22"/>
      <c r="J662" s="22"/>
    </row>
    <row r="664" spans="1:10" ht="15" x14ac:dyDescent="0.25">
      <c r="A664" s="3" t="s">
        <v>2</v>
      </c>
      <c r="B664" s="3" t="s">
        <v>3</v>
      </c>
      <c r="C664" s="3" t="s">
        <v>4</v>
      </c>
      <c r="D664" s="3" t="s">
        <v>5</v>
      </c>
      <c r="E664" s="3" t="s">
        <v>6</v>
      </c>
      <c r="F664" s="7" t="s">
        <v>7</v>
      </c>
      <c r="G664" s="3" t="s">
        <v>8</v>
      </c>
      <c r="H664" s="7" t="s">
        <v>9</v>
      </c>
      <c r="I664" s="7" t="s">
        <v>10</v>
      </c>
      <c r="J664" s="3" t="s">
        <v>11</v>
      </c>
    </row>
    <row r="665" spans="1:10" ht="164.25" x14ac:dyDescent="0.2">
      <c r="A665" s="2" t="s">
        <v>496</v>
      </c>
      <c r="B665" s="9">
        <v>1</v>
      </c>
      <c r="C665" s="9">
        <v>1</v>
      </c>
      <c r="D665" s="10" t="s">
        <v>13</v>
      </c>
      <c r="E665" s="11" t="s">
        <v>497</v>
      </c>
      <c r="F665" s="12">
        <v>308</v>
      </c>
      <c r="G665" s="10" t="s">
        <v>109</v>
      </c>
      <c r="H665" s="13"/>
      <c r="I665" s="13"/>
      <c r="J665" s="10"/>
    </row>
    <row r="666" spans="1:10" x14ac:dyDescent="0.2">
      <c r="A666" s="2" t="s">
        <v>496</v>
      </c>
      <c r="B666" s="9">
        <v>1</v>
      </c>
      <c r="C666" s="9">
        <v>1</v>
      </c>
      <c r="D666" s="10" t="s">
        <v>16</v>
      </c>
      <c r="E666" s="11" t="s">
        <v>498</v>
      </c>
      <c r="F666" s="12">
        <v>77</v>
      </c>
      <c r="G666" s="10" t="s">
        <v>109</v>
      </c>
      <c r="H666" s="13"/>
      <c r="I666" s="13"/>
      <c r="J666" s="10"/>
    </row>
    <row r="667" spans="1:10" x14ac:dyDescent="0.2">
      <c r="A667" s="2" t="s">
        <v>496</v>
      </c>
      <c r="B667" s="9">
        <v>1</v>
      </c>
      <c r="C667" s="9">
        <v>1</v>
      </c>
      <c r="D667" s="10" t="s">
        <v>18</v>
      </c>
      <c r="E667" s="11" t="s">
        <v>499</v>
      </c>
      <c r="F667" s="12">
        <v>73</v>
      </c>
      <c r="G667" s="10" t="s">
        <v>83</v>
      </c>
      <c r="H667" s="13"/>
      <c r="I667" s="13"/>
      <c r="J667" s="10"/>
    </row>
    <row r="668" spans="1:10" x14ac:dyDescent="0.2">
      <c r="A668" s="2" t="s">
        <v>496</v>
      </c>
      <c r="B668" s="9">
        <v>1</v>
      </c>
      <c r="C668" s="9">
        <v>1</v>
      </c>
      <c r="D668" s="10" t="s">
        <v>20</v>
      </c>
      <c r="E668" s="11" t="s">
        <v>500</v>
      </c>
      <c r="F668" s="12">
        <v>18</v>
      </c>
      <c r="G668" s="10" t="s">
        <v>83</v>
      </c>
      <c r="H668" s="13"/>
      <c r="I668" s="13"/>
      <c r="J668" s="10"/>
    </row>
    <row r="669" spans="1:10" x14ac:dyDescent="0.2">
      <c r="A669" s="2" t="s">
        <v>496</v>
      </c>
      <c r="B669" s="9">
        <v>1</v>
      </c>
      <c r="C669" s="9">
        <v>1</v>
      </c>
      <c r="D669" s="10" t="s">
        <v>22</v>
      </c>
      <c r="E669" s="11" t="s">
        <v>501</v>
      </c>
      <c r="F669" s="12">
        <v>1015</v>
      </c>
      <c r="G669" s="10" t="s">
        <v>83</v>
      </c>
      <c r="H669" s="13"/>
      <c r="I669" s="13"/>
      <c r="J669" s="10"/>
    </row>
    <row r="670" spans="1:10" x14ac:dyDescent="0.2">
      <c r="A670" s="2" t="s">
        <v>496</v>
      </c>
      <c r="B670" s="9">
        <v>1</v>
      </c>
      <c r="C670" s="9">
        <v>1</v>
      </c>
      <c r="D670" s="10" t="s">
        <v>24</v>
      </c>
      <c r="E670" s="11" t="s">
        <v>502</v>
      </c>
      <c r="F670" s="12">
        <v>131</v>
      </c>
      <c r="G670" s="10" t="s">
        <v>109</v>
      </c>
      <c r="H670" s="13"/>
      <c r="I670" s="13"/>
      <c r="J670" s="10"/>
    </row>
    <row r="671" spans="1:10" ht="28.5" x14ac:dyDescent="0.2">
      <c r="A671" s="2" t="s">
        <v>496</v>
      </c>
      <c r="B671" s="9">
        <v>1</v>
      </c>
      <c r="C671" s="9">
        <v>1</v>
      </c>
      <c r="D671" s="10" t="s">
        <v>27</v>
      </c>
      <c r="E671" s="11" t="s">
        <v>503</v>
      </c>
      <c r="F671" s="12">
        <v>4</v>
      </c>
      <c r="G671" s="10" t="s">
        <v>83</v>
      </c>
      <c r="H671" s="13"/>
      <c r="I671" s="13"/>
      <c r="J671" s="10"/>
    </row>
    <row r="672" spans="1:10" ht="28.5" x14ac:dyDescent="0.2">
      <c r="A672" s="2" t="s">
        <v>496</v>
      </c>
      <c r="B672" s="9">
        <v>1</v>
      </c>
      <c r="C672" s="9">
        <v>1</v>
      </c>
      <c r="D672" s="10" t="s">
        <v>29</v>
      </c>
      <c r="E672" s="11" t="s">
        <v>504</v>
      </c>
      <c r="F672" s="12">
        <v>4</v>
      </c>
      <c r="G672" s="10" t="s">
        <v>83</v>
      </c>
      <c r="H672" s="13"/>
      <c r="I672" s="13"/>
      <c r="J672" s="10"/>
    </row>
    <row r="673" spans="1:10" ht="28.5" x14ac:dyDescent="0.2">
      <c r="A673" s="2" t="s">
        <v>496</v>
      </c>
      <c r="B673" s="9">
        <v>1</v>
      </c>
      <c r="C673" s="9">
        <v>1</v>
      </c>
      <c r="D673" s="10" t="s">
        <v>32</v>
      </c>
      <c r="E673" s="11" t="s">
        <v>202</v>
      </c>
      <c r="F673" s="12">
        <v>4</v>
      </c>
      <c r="G673" s="10" t="s">
        <v>83</v>
      </c>
      <c r="H673" s="13"/>
      <c r="I673" s="13"/>
      <c r="J673" s="10"/>
    </row>
    <row r="674" spans="1:10" ht="28.5" x14ac:dyDescent="0.2">
      <c r="A674" s="2" t="s">
        <v>496</v>
      </c>
      <c r="B674" s="9">
        <v>1</v>
      </c>
      <c r="C674" s="9">
        <v>1</v>
      </c>
      <c r="D674" s="10" t="s">
        <v>33</v>
      </c>
      <c r="E674" s="11" t="s">
        <v>202</v>
      </c>
      <c r="F674" s="12">
        <v>4</v>
      </c>
      <c r="G674" s="10" t="s">
        <v>83</v>
      </c>
      <c r="H674" s="13"/>
      <c r="I674" s="13"/>
      <c r="J674" s="10"/>
    </row>
    <row r="675" spans="1:10" ht="28.5" x14ac:dyDescent="0.2">
      <c r="A675" s="2" t="s">
        <v>496</v>
      </c>
      <c r="B675" s="9">
        <v>1</v>
      </c>
      <c r="C675" s="9">
        <v>1</v>
      </c>
      <c r="D675" s="10" t="s">
        <v>34</v>
      </c>
      <c r="E675" s="11" t="s">
        <v>505</v>
      </c>
      <c r="F675" s="12">
        <v>24</v>
      </c>
      <c r="G675" s="10" t="s">
        <v>83</v>
      </c>
      <c r="H675" s="13"/>
      <c r="I675" s="13"/>
      <c r="J675" s="10"/>
    </row>
    <row r="676" spans="1:10" ht="104.25" x14ac:dyDescent="0.2">
      <c r="A676" s="2" t="s">
        <v>496</v>
      </c>
      <c r="B676" s="9">
        <v>1</v>
      </c>
      <c r="C676" s="9">
        <v>1</v>
      </c>
      <c r="D676" s="10" t="s">
        <v>35</v>
      </c>
      <c r="E676" s="11" t="s">
        <v>506</v>
      </c>
      <c r="F676" s="12">
        <v>1825</v>
      </c>
      <c r="G676" s="10" t="s">
        <v>109</v>
      </c>
      <c r="H676" s="13"/>
      <c r="I676" s="13"/>
      <c r="J676" s="10"/>
    </row>
    <row r="677" spans="1:10" x14ac:dyDescent="0.2">
      <c r="A677" s="2" t="s">
        <v>496</v>
      </c>
      <c r="B677" s="9">
        <v>1</v>
      </c>
      <c r="C677" s="9">
        <v>1</v>
      </c>
      <c r="D677" s="10" t="s">
        <v>36</v>
      </c>
      <c r="E677" s="11" t="s">
        <v>498</v>
      </c>
      <c r="F677" s="12">
        <v>263</v>
      </c>
      <c r="G677" s="10" t="s">
        <v>109</v>
      </c>
      <c r="H677" s="13"/>
      <c r="I677" s="13"/>
      <c r="J677" s="10"/>
    </row>
    <row r="678" spans="1:10" ht="28.5" x14ac:dyDescent="0.2">
      <c r="A678" s="2" t="s">
        <v>496</v>
      </c>
      <c r="B678" s="9">
        <v>1</v>
      </c>
      <c r="C678" s="9">
        <v>1</v>
      </c>
      <c r="D678" s="10" t="s">
        <v>40</v>
      </c>
      <c r="E678" s="11" t="s">
        <v>507</v>
      </c>
      <c r="F678" s="12">
        <v>128</v>
      </c>
      <c r="G678" s="10" t="s">
        <v>83</v>
      </c>
      <c r="H678" s="13"/>
      <c r="I678" s="13"/>
      <c r="J678" s="10"/>
    </row>
    <row r="679" spans="1:10" ht="28.5" x14ac:dyDescent="0.2">
      <c r="A679" s="2" t="s">
        <v>496</v>
      </c>
      <c r="B679" s="9">
        <v>1</v>
      </c>
      <c r="C679" s="9">
        <v>1</v>
      </c>
      <c r="D679" s="10" t="s">
        <v>42</v>
      </c>
      <c r="E679" s="11" t="s">
        <v>508</v>
      </c>
      <c r="F679" s="12">
        <v>294</v>
      </c>
      <c r="G679" s="10" t="s">
        <v>83</v>
      </c>
      <c r="H679" s="13"/>
      <c r="I679" s="13"/>
      <c r="J679" s="10"/>
    </row>
    <row r="680" spans="1:10" ht="28.5" x14ac:dyDescent="0.2">
      <c r="A680" s="2" t="s">
        <v>496</v>
      </c>
      <c r="B680" s="9">
        <v>1</v>
      </c>
      <c r="C680" s="9">
        <v>1</v>
      </c>
      <c r="D680" s="10" t="s">
        <v>44</v>
      </c>
      <c r="E680" s="11" t="s">
        <v>509</v>
      </c>
      <c r="F680" s="12">
        <v>20</v>
      </c>
      <c r="G680" s="10" t="s">
        <v>83</v>
      </c>
      <c r="H680" s="13"/>
      <c r="I680" s="13"/>
      <c r="J680" s="10"/>
    </row>
    <row r="681" spans="1:10" x14ac:dyDescent="0.2">
      <c r="A681" s="1" t="s">
        <v>510</v>
      </c>
      <c r="B681" s="1"/>
      <c r="C681" s="1"/>
      <c r="D681" s="1"/>
      <c r="E681" s="1"/>
      <c r="F681" s="1"/>
      <c r="G681" s="1"/>
      <c r="H681" s="1" t="s">
        <v>67</v>
      </c>
      <c r="I681" s="13">
        <f>I665+I666+I667+I668+I669+I670+I671+I672+I673+I674+I675+I676+I677+I678+I679+I680</f>
        <v>0</v>
      </c>
      <c r="J681" s="1"/>
    </row>
    <row r="684" spans="1:10" ht="15" x14ac:dyDescent="0.25">
      <c r="A684" s="21" t="s">
        <v>511</v>
      </c>
      <c r="B684" s="22"/>
      <c r="C684" s="22"/>
      <c r="D684" s="22"/>
      <c r="E684" s="22"/>
      <c r="F684" s="22"/>
      <c r="G684" s="22"/>
      <c r="H684" s="22"/>
      <c r="I684" s="22"/>
      <c r="J684" s="22"/>
    </row>
    <row r="685" spans="1:10" ht="15" x14ac:dyDescent="0.25">
      <c r="A685" s="21" t="s">
        <v>495</v>
      </c>
      <c r="B685" s="22"/>
      <c r="C685" s="22"/>
      <c r="D685" s="22"/>
      <c r="E685" s="22"/>
      <c r="F685" s="22"/>
      <c r="G685" s="22"/>
      <c r="H685" s="22"/>
      <c r="I685" s="22"/>
      <c r="J685" s="22"/>
    </row>
    <row r="687" spans="1:10" ht="15" x14ac:dyDescent="0.25">
      <c r="A687" s="3" t="s">
        <v>2</v>
      </c>
      <c r="B687" s="3" t="s">
        <v>3</v>
      </c>
      <c r="C687" s="3" t="s">
        <v>4</v>
      </c>
      <c r="D687" s="3" t="s">
        <v>5</v>
      </c>
      <c r="E687" s="3" t="s">
        <v>6</v>
      </c>
      <c r="F687" s="7" t="s">
        <v>7</v>
      </c>
      <c r="G687" s="3" t="s">
        <v>8</v>
      </c>
      <c r="H687" s="7" t="s">
        <v>9</v>
      </c>
      <c r="I687" s="7" t="s">
        <v>10</v>
      </c>
      <c r="J687" s="3" t="s">
        <v>11</v>
      </c>
    </row>
    <row r="688" spans="1:10" ht="118.5" x14ac:dyDescent="0.2">
      <c r="A688" s="2" t="s">
        <v>496</v>
      </c>
      <c r="B688" s="9">
        <v>1</v>
      </c>
      <c r="C688" s="9">
        <v>2</v>
      </c>
      <c r="D688" s="10" t="s">
        <v>13</v>
      </c>
      <c r="E688" s="11" t="s">
        <v>512</v>
      </c>
      <c r="F688" s="12">
        <v>20</v>
      </c>
      <c r="G688" s="10" t="s">
        <v>83</v>
      </c>
      <c r="H688" s="13"/>
      <c r="I688" s="13"/>
      <c r="J688" s="10"/>
    </row>
    <row r="689" spans="1:10" x14ac:dyDescent="0.2">
      <c r="A689" s="2" t="s">
        <v>496</v>
      </c>
      <c r="B689" s="9">
        <v>1</v>
      </c>
      <c r="C689" s="9">
        <v>2</v>
      </c>
      <c r="D689" s="10" t="s">
        <v>16</v>
      </c>
      <c r="E689" s="11" t="s">
        <v>513</v>
      </c>
      <c r="F689" s="12">
        <v>238</v>
      </c>
      <c r="G689" s="10" t="s">
        <v>83</v>
      </c>
      <c r="H689" s="13"/>
      <c r="I689" s="13"/>
      <c r="J689" s="10"/>
    </row>
    <row r="690" spans="1:10" x14ac:dyDescent="0.2">
      <c r="A690" s="2" t="s">
        <v>496</v>
      </c>
      <c r="B690" s="9">
        <v>1</v>
      </c>
      <c r="C690" s="9">
        <v>2</v>
      </c>
      <c r="D690" s="10" t="s">
        <v>18</v>
      </c>
      <c r="E690" s="11" t="s">
        <v>500</v>
      </c>
      <c r="F690" s="12">
        <v>114.99999999999999</v>
      </c>
      <c r="G690" s="10" t="s">
        <v>83</v>
      </c>
      <c r="H690" s="13"/>
      <c r="I690" s="13"/>
      <c r="J690" s="10"/>
    </row>
    <row r="691" spans="1:10" x14ac:dyDescent="0.2">
      <c r="A691" s="2" t="s">
        <v>496</v>
      </c>
      <c r="B691" s="9">
        <v>1</v>
      </c>
      <c r="C691" s="9">
        <v>2</v>
      </c>
      <c r="D691" s="10" t="s">
        <v>20</v>
      </c>
      <c r="E691" s="11" t="s">
        <v>501</v>
      </c>
      <c r="F691" s="12">
        <v>810</v>
      </c>
      <c r="G691" s="10" t="s">
        <v>83</v>
      </c>
      <c r="H691" s="13"/>
      <c r="I691" s="13"/>
      <c r="J691" s="10"/>
    </row>
    <row r="692" spans="1:10" ht="28.5" x14ac:dyDescent="0.2">
      <c r="A692" s="2" t="s">
        <v>496</v>
      </c>
      <c r="B692" s="9">
        <v>1</v>
      </c>
      <c r="C692" s="9">
        <v>2</v>
      </c>
      <c r="D692" s="10" t="s">
        <v>22</v>
      </c>
      <c r="E692" s="11" t="s">
        <v>514</v>
      </c>
      <c r="F692" s="12">
        <v>119</v>
      </c>
      <c r="G692" s="10" t="s">
        <v>109</v>
      </c>
      <c r="H692" s="13"/>
      <c r="I692" s="13"/>
      <c r="J692" s="10"/>
    </row>
    <row r="693" spans="1:10" ht="28.5" x14ac:dyDescent="0.2">
      <c r="A693" s="2" t="s">
        <v>496</v>
      </c>
      <c r="B693" s="9">
        <v>1</v>
      </c>
      <c r="C693" s="9">
        <v>2</v>
      </c>
      <c r="D693" s="10" t="s">
        <v>24</v>
      </c>
      <c r="E693" s="11" t="s">
        <v>515</v>
      </c>
      <c r="F693" s="12">
        <v>0</v>
      </c>
      <c r="G693" s="10" t="s">
        <v>109</v>
      </c>
      <c r="H693" s="13"/>
      <c r="I693" s="6"/>
      <c r="J693" s="10"/>
    </row>
    <row r="694" spans="1:10" ht="28.5" x14ac:dyDescent="0.2">
      <c r="A694" s="2" t="s">
        <v>496</v>
      </c>
      <c r="B694" s="9">
        <v>1</v>
      </c>
      <c r="C694" s="9">
        <v>2</v>
      </c>
      <c r="D694" s="10" t="s">
        <v>27</v>
      </c>
      <c r="E694" s="11" t="s">
        <v>516</v>
      </c>
      <c r="F694" s="12">
        <v>0</v>
      </c>
      <c r="G694" s="10" t="s">
        <v>83</v>
      </c>
      <c r="H694" s="13"/>
      <c r="I694" s="6"/>
      <c r="J694" s="10"/>
    </row>
    <row r="695" spans="1:10" ht="28.5" x14ac:dyDescent="0.2">
      <c r="A695" s="2" t="s">
        <v>496</v>
      </c>
      <c r="B695" s="9">
        <v>1</v>
      </c>
      <c r="C695" s="9">
        <v>2</v>
      </c>
      <c r="D695" s="10" t="s">
        <v>29</v>
      </c>
      <c r="E695" s="11" t="s">
        <v>517</v>
      </c>
      <c r="F695" s="12">
        <v>0</v>
      </c>
      <c r="G695" s="10" t="s">
        <v>83</v>
      </c>
      <c r="H695" s="13"/>
      <c r="I695" s="6"/>
      <c r="J695" s="10"/>
    </row>
    <row r="696" spans="1:10" x14ac:dyDescent="0.2">
      <c r="A696" s="2" t="s">
        <v>496</v>
      </c>
      <c r="B696" s="9">
        <v>1</v>
      </c>
      <c r="C696" s="9">
        <v>2</v>
      </c>
      <c r="D696" s="10" t="s">
        <v>32</v>
      </c>
      <c r="E696" s="11" t="s">
        <v>502</v>
      </c>
      <c r="F696" s="12">
        <v>130</v>
      </c>
      <c r="G696" s="10" t="s">
        <v>109</v>
      </c>
      <c r="H696" s="13"/>
      <c r="I696" s="13"/>
      <c r="J696" s="10"/>
    </row>
    <row r="697" spans="1:10" ht="28.5" x14ac:dyDescent="0.2">
      <c r="A697" s="2" t="s">
        <v>496</v>
      </c>
      <c r="B697" s="9">
        <v>1</v>
      </c>
      <c r="C697" s="9">
        <v>2</v>
      </c>
      <c r="D697" s="10" t="s">
        <v>33</v>
      </c>
      <c r="E697" s="11" t="s">
        <v>503</v>
      </c>
      <c r="F697" s="12">
        <v>1</v>
      </c>
      <c r="G697" s="10" t="s">
        <v>83</v>
      </c>
      <c r="H697" s="13"/>
      <c r="I697" s="13"/>
      <c r="J697" s="10"/>
    </row>
    <row r="698" spans="1:10" ht="28.5" x14ac:dyDescent="0.2">
      <c r="A698" s="2" t="s">
        <v>496</v>
      </c>
      <c r="B698" s="9">
        <v>1</v>
      </c>
      <c r="C698" s="9">
        <v>2</v>
      </c>
      <c r="D698" s="10" t="s">
        <v>34</v>
      </c>
      <c r="E698" s="11" t="s">
        <v>504</v>
      </c>
      <c r="F698" s="12">
        <v>1</v>
      </c>
      <c r="G698" s="10" t="s">
        <v>83</v>
      </c>
      <c r="H698" s="13"/>
      <c r="I698" s="13"/>
      <c r="J698" s="10"/>
    </row>
    <row r="699" spans="1:10" ht="28.5" x14ac:dyDescent="0.2">
      <c r="A699" s="2" t="s">
        <v>496</v>
      </c>
      <c r="B699" s="9">
        <v>1</v>
      </c>
      <c r="C699" s="9">
        <v>2</v>
      </c>
      <c r="D699" s="10" t="s">
        <v>35</v>
      </c>
      <c r="E699" s="11" t="s">
        <v>518</v>
      </c>
      <c r="F699" s="12">
        <v>1</v>
      </c>
      <c r="G699" s="10" t="s">
        <v>83</v>
      </c>
      <c r="H699" s="13"/>
      <c r="I699" s="13"/>
      <c r="J699" s="10"/>
    </row>
    <row r="700" spans="1:10" ht="28.5" x14ac:dyDescent="0.2">
      <c r="A700" s="2" t="s">
        <v>496</v>
      </c>
      <c r="B700" s="9">
        <v>1</v>
      </c>
      <c r="C700" s="9">
        <v>2</v>
      </c>
      <c r="D700" s="10" t="s">
        <v>36</v>
      </c>
      <c r="E700" s="11" t="s">
        <v>518</v>
      </c>
      <c r="F700" s="12">
        <v>1</v>
      </c>
      <c r="G700" s="10" t="s">
        <v>83</v>
      </c>
      <c r="H700" s="13"/>
      <c r="I700" s="13"/>
      <c r="J700" s="10"/>
    </row>
    <row r="701" spans="1:10" ht="28.5" x14ac:dyDescent="0.2">
      <c r="A701" s="2" t="s">
        <v>496</v>
      </c>
      <c r="B701" s="9">
        <v>1</v>
      </c>
      <c r="C701" s="9">
        <v>2</v>
      </c>
      <c r="D701" s="10" t="s">
        <v>40</v>
      </c>
      <c r="E701" s="11" t="s">
        <v>505</v>
      </c>
      <c r="F701" s="12">
        <v>6</v>
      </c>
      <c r="G701" s="10" t="s">
        <v>83</v>
      </c>
      <c r="H701" s="13"/>
      <c r="I701" s="13"/>
      <c r="J701" s="10"/>
    </row>
    <row r="702" spans="1:10" ht="44.25" x14ac:dyDescent="0.2">
      <c r="A702" s="2" t="s">
        <v>496</v>
      </c>
      <c r="B702" s="9">
        <v>1</v>
      </c>
      <c r="C702" s="9">
        <v>2</v>
      </c>
      <c r="D702" s="10" t="s">
        <v>42</v>
      </c>
      <c r="E702" s="11" t="s">
        <v>519</v>
      </c>
      <c r="F702" s="12">
        <v>1</v>
      </c>
      <c r="G702" s="10" t="s">
        <v>15</v>
      </c>
      <c r="H702" s="13"/>
      <c r="I702" s="6"/>
      <c r="J702" s="10"/>
    </row>
    <row r="703" spans="1:10" ht="44.25" x14ac:dyDescent="0.2">
      <c r="A703" s="2" t="s">
        <v>496</v>
      </c>
      <c r="B703" s="9">
        <v>1</v>
      </c>
      <c r="C703" s="9">
        <v>2</v>
      </c>
      <c r="D703" s="10" t="s">
        <v>44</v>
      </c>
      <c r="E703" s="11" t="s">
        <v>520</v>
      </c>
      <c r="F703" s="12">
        <v>60</v>
      </c>
      <c r="G703" s="10" t="s">
        <v>258</v>
      </c>
      <c r="H703" s="13"/>
      <c r="I703" s="13"/>
      <c r="J703" s="10"/>
    </row>
    <row r="704" spans="1:10" ht="117.75" x14ac:dyDescent="0.2">
      <c r="A704" s="2" t="s">
        <v>496</v>
      </c>
      <c r="B704" s="9">
        <v>1</v>
      </c>
      <c r="C704" s="9">
        <v>2</v>
      </c>
      <c r="D704" s="10" t="s">
        <v>46</v>
      </c>
      <c r="E704" s="11" t="s">
        <v>521</v>
      </c>
      <c r="F704" s="12">
        <v>25</v>
      </c>
      <c r="G704" s="10" t="s">
        <v>109</v>
      </c>
      <c r="H704" s="13"/>
      <c r="I704" s="13"/>
      <c r="J704" s="10"/>
    </row>
    <row r="705" spans="1:10" ht="57" x14ac:dyDescent="0.2">
      <c r="A705" s="2" t="s">
        <v>496</v>
      </c>
      <c r="B705" s="9">
        <v>1</v>
      </c>
      <c r="C705" s="9">
        <v>2</v>
      </c>
      <c r="D705" s="10" t="s">
        <v>47</v>
      </c>
      <c r="E705" s="11" t="s">
        <v>522</v>
      </c>
      <c r="F705" s="12">
        <v>2076</v>
      </c>
      <c r="G705" s="10" t="s">
        <v>109</v>
      </c>
      <c r="H705" s="13"/>
      <c r="I705" s="13"/>
      <c r="J705" s="10"/>
    </row>
    <row r="706" spans="1:10" x14ac:dyDescent="0.2">
      <c r="A706" s="1" t="s">
        <v>523</v>
      </c>
      <c r="B706" s="1"/>
      <c r="C706" s="1"/>
      <c r="D706" s="1"/>
      <c r="E706" s="1"/>
      <c r="F706" s="1"/>
      <c r="G706" s="1"/>
      <c r="H706" s="1" t="s">
        <v>67</v>
      </c>
      <c r="I706" s="13">
        <f>I688+I689+I690+I691+I692+I696+I697+I698+I699+I700+I701+I703+I704+I705</f>
        <v>0</v>
      </c>
      <c r="J706" s="1"/>
    </row>
    <row r="709" spans="1:10" ht="15" x14ac:dyDescent="0.25">
      <c r="A709" s="21" t="s">
        <v>524</v>
      </c>
      <c r="B709" s="22"/>
      <c r="C709" s="22"/>
      <c r="D709" s="22"/>
      <c r="E709" s="22"/>
      <c r="F709" s="22"/>
      <c r="G709" s="22"/>
      <c r="H709" s="22"/>
      <c r="I709" s="22"/>
      <c r="J709" s="22"/>
    </row>
    <row r="710" spans="1:10" ht="15" x14ac:dyDescent="0.25">
      <c r="A710" s="21" t="s">
        <v>495</v>
      </c>
      <c r="B710" s="22"/>
      <c r="C710" s="22"/>
      <c r="D710" s="22"/>
      <c r="E710" s="22"/>
      <c r="F710" s="22"/>
      <c r="G710" s="22"/>
      <c r="H710" s="22"/>
      <c r="I710" s="22"/>
      <c r="J710" s="22"/>
    </row>
    <row r="712" spans="1:10" ht="15" x14ac:dyDescent="0.25">
      <c r="A712" s="3" t="s">
        <v>2</v>
      </c>
      <c r="B712" s="3" t="s">
        <v>3</v>
      </c>
      <c r="C712" s="3" t="s">
        <v>4</v>
      </c>
      <c r="D712" s="3" t="s">
        <v>5</v>
      </c>
      <c r="E712" s="3" t="s">
        <v>6</v>
      </c>
      <c r="F712" s="7" t="s">
        <v>7</v>
      </c>
      <c r="G712" s="3" t="s">
        <v>8</v>
      </c>
      <c r="H712" s="7" t="s">
        <v>9</v>
      </c>
      <c r="I712" s="7" t="s">
        <v>10</v>
      </c>
      <c r="J712" s="3" t="s">
        <v>11</v>
      </c>
    </row>
    <row r="713" spans="1:10" ht="102.75" x14ac:dyDescent="0.2">
      <c r="A713" s="2" t="s">
        <v>496</v>
      </c>
      <c r="B713" s="9">
        <v>1</v>
      </c>
      <c r="C713" s="9">
        <v>3</v>
      </c>
      <c r="D713" s="10" t="s">
        <v>13</v>
      </c>
      <c r="E713" s="11" t="s">
        <v>525</v>
      </c>
      <c r="F713" s="12">
        <v>91</v>
      </c>
      <c r="G713" s="10" t="s">
        <v>109</v>
      </c>
      <c r="H713" s="13"/>
      <c r="I713" s="13"/>
      <c r="J713" s="10"/>
    </row>
    <row r="714" spans="1:10" ht="74.25" x14ac:dyDescent="0.2">
      <c r="A714" s="2" t="s">
        <v>496</v>
      </c>
      <c r="B714" s="9">
        <v>1</v>
      </c>
      <c r="C714" s="9">
        <v>3</v>
      </c>
      <c r="D714" s="10" t="s">
        <v>16</v>
      </c>
      <c r="E714" s="11" t="s">
        <v>526</v>
      </c>
      <c r="F714" s="12">
        <v>332</v>
      </c>
      <c r="G714" s="10" t="s">
        <v>109</v>
      </c>
      <c r="H714" s="13"/>
      <c r="I714" s="13"/>
      <c r="J714" s="10"/>
    </row>
    <row r="715" spans="1:10" ht="28.5" x14ac:dyDescent="0.2">
      <c r="A715" s="2" t="s">
        <v>496</v>
      </c>
      <c r="B715" s="9">
        <v>1</v>
      </c>
      <c r="C715" s="9">
        <v>3</v>
      </c>
      <c r="D715" s="10" t="s">
        <v>18</v>
      </c>
      <c r="E715" s="11" t="s">
        <v>527</v>
      </c>
      <c r="F715" s="12">
        <v>55.000000000000007</v>
      </c>
      <c r="G715" s="10" t="s">
        <v>109</v>
      </c>
      <c r="H715" s="13"/>
      <c r="I715" s="13"/>
      <c r="J715" s="10"/>
    </row>
    <row r="716" spans="1:10" ht="119.25" x14ac:dyDescent="0.2">
      <c r="A716" s="2" t="s">
        <v>496</v>
      </c>
      <c r="B716" s="9">
        <v>1</v>
      </c>
      <c r="C716" s="9">
        <v>3</v>
      </c>
      <c r="D716" s="10" t="s">
        <v>20</v>
      </c>
      <c r="E716" s="11" t="s">
        <v>528</v>
      </c>
      <c r="F716" s="12">
        <v>2085</v>
      </c>
      <c r="G716" s="10" t="s">
        <v>109</v>
      </c>
      <c r="H716" s="13"/>
      <c r="I716" s="13"/>
      <c r="J716" s="10"/>
    </row>
    <row r="717" spans="1:10" ht="28.5" x14ac:dyDescent="0.2">
      <c r="A717" s="2" t="s">
        <v>496</v>
      </c>
      <c r="B717" s="9">
        <v>1</v>
      </c>
      <c r="C717" s="9">
        <v>3</v>
      </c>
      <c r="D717" s="10" t="s">
        <v>22</v>
      </c>
      <c r="E717" s="11" t="s">
        <v>529</v>
      </c>
      <c r="F717" s="12">
        <v>11</v>
      </c>
      <c r="G717" s="10" t="s">
        <v>109</v>
      </c>
      <c r="H717" s="13"/>
      <c r="I717" s="13"/>
      <c r="J717" s="10"/>
    </row>
    <row r="718" spans="1:10" x14ac:dyDescent="0.2">
      <c r="A718" s="2" t="s">
        <v>496</v>
      </c>
      <c r="B718" s="9">
        <v>1</v>
      </c>
      <c r="C718" s="9">
        <v>3</v>
      </c>
      <c r="D718" s="10" t="s">
        <v>24</v>
      </c>
      <c r="E718" s="11" t="s">
        <v>530</v>
      </c>
      <c r="F718" s="12">
        <v>340.99999999999994</v>
      </c>
      <c r="G718" s="10" t="s">
        <v>83</v>
      </c>
      <c r="H718" s="13"/>
      <c r="I718" s="13"/>
      <c r="J718" s="10"/>
    </row>
    <row r="719" spans="1:10" ht="28.5" x14ac:dyDescent="0.2">
      <c r="A719" s="2" t="s">
        <v>496</v>
      </c>
      <c r="B719" s="9">
        <v>1</v>
      </c>
      <c r="C719" s="9">
        <v>3</v>
      </c>
      <c r="D719" s="10" t="s">
        <v>27</v>
      </c>
      <c r="E719" s="11" t="s">
        <v>531</v>
      </c>
      <c r="F719" s="12">
        <v>21</v>
      </c>
      <c r="G719" s="10" t="s">
        <v>83</v>
      </c>
      <c r="H719" s="13"/>
      <c r="I719" s="13"/>
      <c r="J719" s="10"/>
    </row>
    <row r="720" spans="1:10" x14ac:dyDescent="0.2">
      <c r="A720" s="2" t="s">
        <v>496</v>
      </c>
      <c r="B720" s="9">
        <v>1</v>
      </c>
      <c r="C720" s="9">
        <v>3</v>
      </c>
      <c r="D720" s="10" t="s">
        <v>29</v>
      </c>
      <c r="E720" s="11" t="s">
        <v>532</v>
      </c>
      <c r="F720" s="12">
        <v>1019</v>
      </c>
      <c r="G720" s="10" t="s">
        <v>83</v>
      </c>
      <c r="H720" s="13"/>
      <c r="I720" s="13"/>
      <c r="J720" s="10"/>
    </row>
    <row r="721" spans="1:10" ht="57" x14ac:dyDescent="0.2">
      <c r="A721" s="2" t="s">
        <v>496</v>
      </c>
      <c r="B721" s="9">
        <v>1</v>
      </c>
      <c r="C721" s="9">
        <v>3</v>
      </c>
      <c r="D721" s="10" t="s">
        <v>32</v>
      </c>
      <c r="E721" s="11" t="s">
        <v>533</v>
      </c>
      <c r="F721" s="12">
        <v>47</v>
      </c>
      <c r="G721" s="10" t="s">
        <v>83</v>
      </c>
      <c r="H721" s="13"/>
      <c r="I721" s="13"/>
      <c r="J721" s="10"/>
    </row>
    <row r="722" spans="1:10" ht="28.5" x14ac:dyDescent="0.2">
      <c r="A722" s="2" t="s">
        <v>496</v>
      </c>
      <c r="B722" s="9">
        <v>1</v>
      </c>
      <c r="C722" s="9">
        <v>3</v>
      </c>
      <c r="D722" s="10" t="s">
        <v>33</v>
      </c>
      <c r="E722" s="11" t="s">
        <v>534</v>
      </c>
      <c r="F722" s="12">
        <v>66</v>
      </c>
      <c r="G722" s="10" t="s">
        <v>109</v>
      </c>
      <c r="H722" s="13"/>
      <c r="I722" s="13"/>
      <c r="J722" s="10"/>
    </row>
    <row r="723" spans="1:10" x14ac:dyDescent="0.2">
      <c r="A723" s="2" t="s">
        <v>496</v>
      </c>
      <c r="B723" s="9">
        <v>1</v>
      </c>
      <c r="C723" s="9">
        <v>3</v>
      </c>
      <c r="D723" s="10" t="s">
        <v>34</v>
      </c>
      <c r="E723" s="11" t="s">
        <v>535</v>
      </c>
      <c r="F723" s="12">
        <v>19</v>
      </c>
      <c r="G723" s="10" t="s">
        <v>83</v>
      </c>
      <c r="H723" s="13"/>
      <c r="I723" s="13"/>
      <c r="J723" s="10"/>
    </row>
    <row r="724" spans="1:10" ht="28.5" x14ac:dyDescent="0.2">
      <c r="A724" s="2" t="s">
        <v>496</v>
      </c>
      <c r="B724" s="9">
        <v>1</v>
      </c>
      <c r="C724" s="9">
        <v>3</v>
      </c>
      <c r="D724" s="10" t="s">
        <v>35</v>
      </c>
      <c r="E724" s="11" t="s">
        <v>536</v>
      </c>
      <c r="F724" s="12">
        <v>139</v>
      </c>
      <c r="G724" s="10" t="s">
        <v>109</v>
      </c>
      <c r="H724" s="13"/>
      <c r="I724" s="13"/>
      <c r="J724" s="10"/>
    </row>
    <row r="725" spans="1:10" ht="28.5" x14ac:dyDescent="0.2">
      <c r="A725" s="2" t="s">
        <v>496</v>
      </c>
      <c r="B725" s="9">
        <v>1</v>
      </c>
      <c r="C725" s="9">
        <v>3</v>
      </c>
      <c r="D725" s="10" t="s">
        <v>36</v>
      </c>
      <c r="E725" s="11" t="s">
        <v>537</v>
      </c>
      <c r="F725" s="12">
        <v>18</v>
      </c>
      <c r="G725" s="10" t="s">
        <v>109</v>
      </c>
      <c r="H725" s="13"/>
      <c r="I725" s="13"/>
      <c r="J725" s="10"/>
    </row>
    <row r="726" spans="1:10" ht="58.5" x14ac:dyDescent="0.2">
      <c r="A726" s="2" t="s">
        <v>496</v>
      </c>
      <c r="B726" s="9">
        <v>1</v>
      </c>
      <c r="C726" s="9">
        <v>3</v>
      </c>
      <c r="D726" s="10" t="s">
        <v>40</v>
      </c>
      <c r="E726" s="11" t="s">
        <v>538</v>
      </c>
      <c r="F726" s="12">
        <v>2085</v>
      </c>
      <c r="G726" s="10" t="s">
        <v>109</v>
      </c>
      <c r="H726" s="13"/>
      <c r="I726" s="13"/>
      <c r="J726" s="10"/>
    </row>
    <row r="727" spans="1:10" x14ac:dyDescent="0.2">
      <c r="A727" s="1" t="s">
        <v>539</v>
      </c>
      <c r="B727" s="1"/>
      <c r="C727" s="1"/>
      <c r="D727" s="1"/>
      <c r="E727" s="1"/>
      <c r="F727" s="1"/>
      <c r="G727" s="1"/>
      <c r="H727" s="1" t="s">
        <v>67</v>
      </c>
      <c r="I727" s="13">
        <f>I713+I714+I715+I716+I717+I718+I719+I720+I721+I722+I723+I724+I725+I726</f>
        <v>0</v>
      </c>
      <c r="J727" s="1"/>
    </row>
    <row r="730" spans="1:10" ht="15" x14ac:dyDescent="0.25">
      <c r="A730" s="21" t="s">
        <v>540</v>
      </c>
      <c r="B730" s="22"/>
      <c r="C730" s="22"/>
      <c r="D730" s="22"/>
      <c r="E730" s="22"/>
      <c r="F730" s="22"/>
      <c r="G730" s="22"/>
      <c r="H730" s="22"/>
      <c r="I730" s="22"/>
      <c r="J730" s="22"/>
    </row>
    <row r="731" spans="1:10" ht="15" x14ac:dyDescent="0.25">
      <c r="A731" s="21" t="s">
        <v>495</v>
      </c>
      <c r="B731" s="22"/>
      <c r="C731" s="22"/>
      <c r="D731" s="22"/>
      <c r="E731" s="22"/>
      <c r="F731" s="22"/>
      <c r="G731" s="22"/>
      <c r="H731" s="22"/>
      <c r="I731" s="22"/>
      <c r="J731" s="22"/>
    </row>
    <row r="733" spans="1:10" ht="15" x14ac:dyDescent="0.25">
      <c r="A733" s="3" t="s">
        <v>2</v>
      </c>
      <c r="B733" s="3" t="s">
        <v>3</v>
      </c>
      <c r="C733" s="3" t="s">
        <v>4</v>
      </c>
      <c r="D733" s="3" t="s">
        <v>5</v>
      </c>
      <c r="E733" s="3" t="s">
        <v>6</v>
      </c>
      <c r="F733" s="7" t="s">
        <v>7</v>
      </c>
      <c r="G733" s="3" t="s">
        <v>8</v>
      </c>
      <c r="H733" s="7" t="s">
        <v>9</v>
      </c>
      <c r="I733" s="7" t="s">
        <v>10</v>
      </c>
      <c r="J733" s="3" t="s">
        <v>11</v>
      </c>
    </row>
    <row r="734" spans="1:10" ht="59.25" x14ac:dyDescent="0.2">
      <c r="A734" s="2" t="s">
        <v>496</v>
      </c>
      <c r="B734" s="9">
        <v>1</v>
      </c>
      <c r="C734" s="9">
        <v>4</v>
      </c>
      <c r="D734" s="10" t="s">
        <v>13</v>
      </c>
      <c r="E734" s="11" t="s">
        <v>541</v>
      </c>
      <c r="F734" s="12">
        <v>1747</v>
      </c>
      <c r="G734" s="10" t="s">
        <v>83</v>
      </c>
      <c r="H734" s="13"/>
      <c r="I734" s="13"/>
      <c r="J734" s="10"/>
    </row>
    <row r="735" spans="1:10" x14ac:dyDescent="0.2">
      <c r="A735" s="2" t="s">
        <v>496</v>
      </c>
      <c r="B735" s="9">
        <v>1</v>
      </c>
      <c r="C735" s="9">
        <v>4</v>
      </c>
      <c r="D735" s="10" t="s">
        <v>16</v>
      </c>
      <c r="E735" s="11" t="s">
        <v>542</v>
      </c>
      <c r="F735" s="12">
        <v>237</v>
      </c>
      <c r="G735" s="10" t="s">
        <v>83</v>
      </c>
      <c r="H735" s="13"/>
      <c r="I735" s="13"/>
      <c r="J735" s="10"/>
    </row>
    <row r="736" spans="1:10" ht="28.5" x14ac:dyDescent="0.2">
      <c r="A736" s="2" t="s">
        <v>496</v>
      </c>
      <c r="B736" s="9">
        <v>1</v>
      </c>
      <c r="C736" s="9">
        <v>4</v>
      </c>
      <c r="D736" s="10" t="s">
        <v>18</v>
      </c>
      <c r="E736" s="11" t="s">
        <v>543</v>
      </c>
      <c r="F736" s="12">
        <v>161</v>
      </c>
      <c r="G736" s="10" t="s">
        <v>83</v>
      </c>
      <c r="H736" s="13"/>
      <c r="I736" s="13"/>
      <c r="J736" s="10"/>
    </row>
    <row r="737" spans="1:10" ht="28.5" x14ac:dyDescent="0.2">
      <c r="A737" s="2" t="s">
        <v>496</v>
      </c>
      <c r="B737" s="9">
        <v>1</v>
      </c>
      <c r="C737" s="9">
        <v>4</v>
      </c>
      <c r="D737" s="10" t="s">
        <v>20</v>
      </c>
      <c r="E737" s="11" t="s">
        <v>544</v>
      </c>
      <c r="F737" s="12">
        <v>5</v>
      </c>
      <c r="G737" s="10" t="s">
        <v>83</v>
      </c>
      <c r="H737" s="13"/>
      <c r="I737" s="13"/>
      <c r="J737" s="10"/>
    </row>
    <row r="738" spans="1:10" ht="88.5" x14ac:dyDescent="0.2">
      <c r="A738" s="2" t="s">
        <v>496</v>
      </c>
      <c r="B738" s="9">
        <v>1</v>
      </c>
      <c r="C738" s="9">
        <v>4</v>
      </c>
      <c r="D738" s="10" t="s">
        <v>22</v>
      </c>
      <c r="E738" s="11" t="s">
        <v>545</v>
      </c>
      <c r="F738" s="12">
        <v>2234</v>
      </c>
      <c r="G738" s="10" t="s">
        <v>258</v>
      </c>
      <c r="H738" s="13"/>
      <c r="I738" s="13"/>
      <c r="J738" s="10"/>
    </row>
    <row r="739" spans="1:10" ht="149.25" x14ac:dyDescent="0.2">
      <c r="A739" s="2" t="s">
        <v>496</v>
      </c>
      <c r="B739" s="9">
        <v>1</v>
      </c>
      <c r="C739" s="9">
        <v>4</v>
      </c>
      <c r="D739" s="10" t="s">
        <v>24</v>
      </c>
      <c r="E739" s="11" t="s">
        <v>546</v>
      </c>
      <c r="F739" s="12">
        <v>803.99999999999989</v>
      </c>
      <c r="G739" s="10" t="s">
        <v>83</v>
      </c>
      <c r="H739" s="13"/>
      <c r="I739" s="13"/>
      <c r="J739" s="10"/>
    </row>
    <row r="740" spans="1:10" ht="149.25" x14ac:dyDescent="0.2">
      <c r="A740" s="2" t="s">
        <v>496</v>
      </c>
      <c r="B740" s="9">
        <v>1</v>
      </c>
      <c r="C740" s="9">
        <v>4</v>
      </c>
      <c r="D740" s="10" t="s">
        <v>27</v>
      </c>
      <c r="E740" s="11" t="s">
        <v>547</v>
      </c>
      <c r="F740" s="12">
        <v>333.00000000000006</v>
      </c>
      <c r="G740" s="10" t="s">
        <v>83</v>
      </c>
      <c r="H740" s="13"/>
      <c r="I740" s="13"/>
      <c r="J740" s="10"/>
    </row>
    <row r="741" spans="1:10" ht="149.25" x14ac:dyDescent="0.2">
      <c r="A741" s="2" t="s">
        <v>496</v>
      </c>
      <c r="B741" s="9">
        <v>1</v>
      </c>
      <c r="C741" s="9">
        <v>4</v>
      </c>
      <c r="D741" s="10" t="s">
        <v>29</v>
      </c>
      <c r="E741" s="11" t="s">
        <v>548</v>
      </c>
      <c r="F741" s="12">
        <v>3</v>
      </c>
      <c r="G741" s="10" t="s">
        <v>83</v>
      </c>
      <c r="H741" s="13"/>
      <c r="I741" s="13"/>
      <c r="J741" s="10"/>
    </row>
    <row r="742" spans="1:10" ht="149.25" x14ac:dyDescent="0.2">
      <c r="A742" s="2" t="s">
        <v>496</v>
      </c>
      <c r="B742" s="9">
        <v>1</v>
      </c>
      <c r="C742" s="9">
        <v>4</v>
      </c>
      <c r="D742" s="10" t="s">
        <v>32</v>
      </c>
      <c r="E742" s="11" t="s">
        <v>549</v>
      </c>
      <c r="F742" s="12">
        <v>10</v>
      </c>
      <c r="G742" s="10" t="s">
        <v>83</v>
      </c>
      <c r="H742" s="13"/>
      <c r="I742" s="13"/>
      <c r="J742" s="10"/>
    </row>
    <row r="743" spans="1:10" ht="149.25" x14ac:dyDescent="0.2">
      <c r="A743" s="2" t="s">
        <v>496</v>
      </c>
      <c r="B743" s="9">
        <v>1</v>
      </c>
      <c r="C743" s="9">
        <v>4</v>
      </c>
      <c r="D743" s="10" t="s">
        <v>33</v>
      </c>
      <c r="E743" s="11" t="s">
        <v>550</v>
      </c>
      <c r="F743" s="12">
        <v>483</v>
      </c>
      <c r="G743" s="10" t="s">
        <v>83</v>
      </c>
      <c r="H743" s="13"/>
      <c r="I743" s="13"/>
      <c r="J743" s="10"/>
    </row>
    <row r="744" spans="1:10" ht="149.25" x14ac:dyDescent="0.2">
      <c r="A744" s="2" t="s">
        <v>496</v>
      </c>
      <c r="B744" s="9">
        <v>1</v>
      </c>
      <c r="C744" s="9">
        <v>4</v>
      </c>
      <c r="D744" s="10" t="s">
        <v>34</v>
      </c>
      <c r="E744" s="11" t="s">
        <v>551</v>
      </c>
      <c r="F744" s="12">
        <v>1300</v>
      </c>
      <c r="G744" s="10" t="s">
        <v>83</v>
      </c>
      <c r="H744" s="13"/>
      <c r="I744" s="13"/>
      <c r="J744" s="10"/>
    </row>
    <row r="745" spans="1:10" x14ac:dyDescent="0.2">
      <c r="A745" s="1" t="s">
        <v>552</v>
      </c>
      <c r="B745" s="1"/>
      <c r="C745" s="1"/>
      <c r="D745" s="1"/>
      <c r="E745" s="1"/>
      <c r="F745" s="1"/>
      <c r="G745" s="1"/>
      <c r="H745" s="1" t="s">
        <v>67</v>
      </c>
      <c r="I745" s="13">
        <f>I734+I735+I736+I737+I738+I739+I740+I741+I742+I743+I744</f>
        <v>0</v>
      </c>
      <c r="J745" s="1"/>
    </row>
    <row r="748" spans="1:10" ht="15" x14ac:dyDescent="0.25">
      <c r="A748" s="21" t="s">
        <v>553</v>
      </c>
      <c r="B748" s="22"/>
      <c r="C748" s="22"/>
      <c r="D748" s="22"/>
      <c r="E748" s="22"/>
      <c r="F748" s="22"/>
      <c r="G748" s="22"/>
      <c r="H748" s="22"/>
      <c r="I748" s="22"/>
      <c r="J748" s="22"/>
    </row>
    <row r="749" spans="1:10" ht="15" x14ac:dyDescent="0.25">
      <c r="A749" s="21" t="s">
        <v>495</v>
      </c>
      <c r="B749" s="22"/>
      <c r="C749" s="22"/>
      <c r="D749" s="22"/>
      <c r="E749" s="22"/>
      <c r="F749" s="22"/>
      <c r="G749" s="22"/>
      <c r="H749" s="22"/>
      <c r="I749" s="22"/>
      <c r="J749" s="22"/>
    </row>
    <row r="751" spans="1:10" ht="15" x14ac:dyDescent="0.25">
      <c r="A751" s="3" t="s">
        <v>2</v>
      </c>
      <c r="B751" s="3" t="s">
        <v>3</v>
      </c>
      <c r="C751" s="3" t="s">
        <v>4</v>
      </c>
      <c r="D751" s="3" t="s">
        <v>5</v>
      </c>
      <c r="E751" s="3" t="s">
        <v>6</v>
      </c>
      <c r="F751" s="7" t="s">
        <v>7</v>
      </c>
      <c r="G751" s="3" t="s">
        <v>8</v>
      </c>
      <c r="H751" s="7" t="s">
        <v>9</v>
      </c>
      <c r="I751" s="7" t="s">
        <v>10</v>
      </c>
      <c r="J751" s="3" t="s">
        <v>11</v>
      </c>
    </row>
    <row r="752" spans="1:10" ht="133.5" x14ac:dyDescent="0.2">
      <c r="A752" s="2" t="s">
        <v>496</v>
      </c>
      <c r="B752" s="9">
        <v>1</v>
      </c>
      <c r="C752" s="9">
        <v>5</v>
      </c>
      <c r="D752" s="10" t="s">
        <v>13</v>
      </c>
      <c r="E752" s="11" t="s">
        <v>554</v>
      </c>
      <c r="F752" s="12">
        <v>295</v>
      </c>
      <c r="G752" s="10" t="s">
        <v>83</v>
      </c>
      <c r="H752" s="13"/>
      <c r="I752" s="13"/>
      <c r="J752" s="10"/>
    </row>
    <row r="753" spans="1:10" ht="42.75" x14ac:dyDescent="0.2">
      <c r="A753" s="2" t="s">
        <v>496</v>
      </c>
      <c r="B753" s="9">
        <v>1</v>
      </c>
      <c r="C753" s="9">
        <v>5</v>
      </c>
      <c r="D753" s="10" t="s">
        <v>16</v>
      </c>
      <c r="E753" s="11" t="s">
        <v>555</v>
      </c>
      <c r="F753" s="12">
        <v>411.00000000000006</v>
      </c>
      <c r="G753" s="10" t="s">
        <v>83</v>
      </c>
      <c r="H753" s="13"/>
      <c r="I753" s="13"/>
      <c r="J753" s="10"/>
    </row>
    <row r="754" spans="1:10" ht="88.5" x14ac:dyDescent="0.2">
      <c r="A754" s="2" t="s">
        <v>496</v>
      </c>
      <c r="B754" s="9">
        <v>1</v>
      </c>
      <c r="C754" s="9">
        <v>5</v>
      </c>
      <c r="D754" s="10" t="s">
        <v>18</v>
      </c>
      <c r="E754" s="11" t="s">
        <v>556</v>
      </c>
      <c r="F754" s="12">
        <v>8</v>
      </c>
      <c r="G754" s="10" t="s">
        <v>83</v>
      </c>
      <c r="H754" s="13"/>
      <c r="I754" s="13"/>
      <c r="J754" s="10"/>
    </row>
    <row r="755" spans="1:10" ht="59.25" x14ac:dyDescent="0.2">
      <c r="A755" s="2" t="s">
        <v>496</v>
      </c>
      <c r="B755" s="9">
        <v>1</v>
      </c>
      <c r="C755" s="9">
        <v>5</v>
      </c>
      <c r="D755" s="10" t="s">
        <v>20</v>
      </c>
      <c r="E755" s="11" t="s">
        <v>557</v>
      </c>
      <c r="F755" s="12">
        <v>1</v>
      </c>
      <c r="G755" s="10" t="s">
        <v>124</v>
      </c>
      <c r="H755" s="13"/>
      <c r="I755" s="13"/>
      <c r="J755" s="10"/>
    </row>
    <row r="756" spans="1:10" x14ac:dyDescent="0.2">
      <c r="A756" s="2" t="s">
        <v>496</v>
      </c>
      <c r="B756" s="9">
        <v>1</v>
      </c>
      <c r="C756" s="9">
        <v>5</v>
      </c>
      <c r="D756" s="10" t="s">
        <v>22</v>
      </c>
      <c r="E756" s="11" t="s">
        <v>558</v>
      </c>
      <c r="F756" s="12">
        <v>1</v>
      </c>
      <c r="G756" s="10" t="s">
        <v>124</v>
      </c>
      <c r="H756" s="13"/>
      <c r="I756" s="13"/>
      <c r="J756" s="10"/>
    </row>
    <row r="757" spans="1:10" x14ac:dyDescent="0.2">
      <c r="A757" s="2" t="s">
        <v>496</v>
      </c>
      <c r="B757" s="9">
        <v>1</v>
      </c>
      <c r="C757" s="9">
        <v>5</v>
      </c>
      <c r="D757" s="10" t="s">
        <v>24</v>
      </c>
      <c r="E757" s="11" t="s">
        <v>559</v>
      </c>
      <c r="F757" s="12">
        <v>105</v>
      </c>
      <c r="G757" s="10" t="s">
        <v>124</v>
      </c>
      <c r="H757" s="13"/>
      <c r="I757" s="13"/>
      <c r="J757" s="10"/>
    </row>
    <row r="758" spans="1:10" x14ac:dyDescent="0.2">
      <c r="A758" s="2" t="s">
        <v>496</v>
      </c>
      <c r="B758" s="9">
        <v>1</v>
      </c>
      <c r="C758" s="9">
        <v>5</v>
      </c>
      <c r="D758" s="10" t="s">
        <v>27</v>
      </c>
      <c r="E758" s="11" t="s">
        <v>560</v>
      </c>
      <c r="F758" s="12">
        <v>48</v>
      </c>
      <c r="G758" s="10" t="s">
        <v>124</v>
      </c>
      <c r="H758" s="13"/>
      <c r="I758" s="13"/>
      <c r="J758" s="10"/>
    </row>
    <row r="759" spans="1:10" ht="42.75" x14ac:dyDescent="0.2">
      <c r="A759" s="2" t="s">
        <v>496</v>
      </c>
      <c r="B759" s="9">
        <v>1</v>
      </c>
      <c r="C759" s="9">
        <v>5</v>
      </c>
      <c r="D759" s="10" t="s">
        <v>29</v>
      </c>
      <c r="E759" s="11" t="s">
        <v>561</v>
      </c>
      <c r="F759" s="12">
        <v>6</v>
      </c>
      <c r="G759" s="10" t="s">
        <v>124</v>
      </c>
      <c r="H759" s="13"/>
      <c r="I759" s="13"/>
      <c r="J759" s="10"/>
    </row>
    <row r="760" spans="1:10" ht="42.75" x14ac:dyDescent="0.2">
      <c r="A760" s="2" t="s">
        <v>496</v>
      </c>
      <c r="B760" s="9">
        <v>1</v>
      </c>
      <c r="C760" s="9">
        <v>5</v>
      </c>
      <c r="D760" s="10" t="s">
        <v>32</v>
      </c>
      <c r="E760" s="11" t="s">
        <v>562</v>
      </c>
      <c r="F760" s="12">
        <v>1</v>
      </c>
      <c r="G760" s="10" t="s">
        <v>124</v>
      </c>
      <c r="H760" s="13"/>
      <c r="I760" s="6"/>
      <c r="J760" s="10"/>
    </row>
    <row r="761" spans="1:10" x14ac:dyDescent="0.2">
      <c r="A761" s="2" t="s">
        <v>496</v>
      </c>
      <c r="B761" s="9">
        <v>1</v>
      </c>
      <c r="C761" s="9">
        <v>5</v>
      </c>
      <c r="D761" s="10" t="s">
        <v>33</v>
      </c>
      <c r="E761" s="11" t="s">
        <v>563</v>
      </c>
      <c r="F761" s="12">
        <v>1</v>
      </c>
      <c r="G761" s="10" t="s">
        <v>100</v>
      </c>
      <c r="H761" s="13"/>
      <c r="I761" s="13"/>
      <c r="J761" s="10"/>
    </row>
    <row r="762" spans="1:10" ht="104.25" x14ac:dyDescent="0.2">
      <c r="A762" s="2" t="s">
        <v>496</v>
      </c>
      <c r="B762" s="9">
        <v>1</v>
      </c>
      <c r="C762" s="9">
        <v>5</v>
      </c>
      <c r="D762" s="10" t="s">
        <v>34</v>
      </c>
      <c r="E762" s="11" t="s">
        <v>564</v>
      </c>
      <c r="F762" s="12">
        <v>101</v>
      </c>
      <c r="G762" s="10" t="s">
        <v>83</v>
      </c>
      <c r="H762" s="13"/>
      <c r="I762" s="13"/>
      <c r="J762" s="10"/>
    </row>
    <row r="763" spans="1:10" ht="118.5" x14ac:dyDescent="0.2">
      <c r="A763" s="2" t="s">
        <v>496</v>
      </c>
      <c r="B763" s="9">
        <v>1</v>
      </c>
      <c r="C763" s="9">
        <v>5</v>
      </c>
      <c r="D763" s="10" t="s">
        <v>35</v>
      </c>
      <c r="E763" s="11" t="s">
        <v>565</v>
      </c>
      <c r="F763" s="12">
        <v>47</v>
      </c>
      <c r="G763" s="10" t="s">
        <v>83</v>
      </c>
      <c r="H763" s="13"/>
      <c r="I763" s="13"/>
      <c r="J763" s="10"/>
    </row>
    <row r="764" spans="1:10" x14ac:dyDescent="0.2">
      <c r="A764" s="1" t="s">
        <v>566</v>
      </c>
      <c r="B764" s="1"/>
      <c r="C764" s="1"/>
      <c r="D764" s="1"/>
      <c r="E764" s="1"/>
      <c r="F764" s="1"/>
      <c r="G764" s="1"/>
      <c r="H764" s="1" t="s">
        <v>67</v>
      </c>
      <c r="I764" s="13">
        <f>I752+I753+I754+I755+I756+I757+I758+I759+I761+I762+I763</f>
        <v>0</v>
      </c>
      <c r="J764" s="1"/>
    </row>
    <row r="767" spans="1:10" ht="15" x14ac:dyDescent="0.25">
      <c r="A767" s="21" t="s">
        <v>567</v>
      </c>
      <c r="B767" s="22"/>
      <c r="C767" s="22"/>
      <c r="D767" s="22"/>
      <c r="E767" s="22"/>
      <c r="F767" s="22"/>
      <c r="G767" s="22"/>
      <c r="H767" s="22"/>
      <c r="I767" s="22"/>
      <c r="J767" s="22"/>
    </row>
    <row r="768" spans="1:10" ht="15" x14ac:dyDescent="0.25">
      <c r="A768" s="21" t="s">
        <v>495</v>
      </c>
      <c r="B768" s="22"/>
      <c r="C768" s="22"/>
      <c r="D768" s="22"/>
      <c r="E768" s="22"/>
      <c r="F768" s="22"/>
      <c r="G768" s="22"/>
      <c r="H768" s="22"/>
      <c r="I768" s="22"/>
      <c r="J768" s="22"/>
    </row>
    <row r="770" spans="1:10" ht="15" x14ac:dyDescent="0.25">
      <c r="A770" s="3" t="s">
        <v>2</v>
      </c>
      <c r="B770" s="3" t="s">
        <v>3</v>
      </c>
      <c r="C770" s="3" t="s">
        <v>4</v>
      </c>
      <c r="D770" s="3" t="s">
        <v>5</v>
      </c>
      <c r="E770" s="3" t="s">
        <v>6</v>
      </c>
      <c r="F770" s="7" t="s">
        <v>7</v>
      </c>
      <c r="G770" s="3" t="s">
        <v>8</v>
      </c>
      <c r="H770" s="7" t="s">
        <v>9</v>
      </c>
      <c r="I770" s="7" t="s">
        <v>10</v>
      </c>
      <c r="J770" s="3" t="s">
        <v>11</v>
      </c>
    </row>
    <row r="771" spans="1:10" ht="104.25" x14ac:dyDescent="0.2">
      <c r="A771" s="2" t="s">
        <v>496</v>
      </c>
      <c r="B771" s="9">
        <v>1</v>
      </c>
      <c r="C771" s="9">
        <v>6</v>
      </c>
      <c r="D771" s="10" t="s">
        <v>13</v>
      </c>
      <c r="E771" s="11" t="s">
        <v>568</v>
      </c>
      <c r="F771" s="12">
        <v>101</v>
      </c>
      <c r="G771" s="10" t="s">
        <v>83</v>
      </c>
      <c r="H771" s="13"/>
      <c r="I771" s="13"/>
      <c r="J771" s="10"/>
    </row>
    <row r="772" spans="1:10" ht="118.5" x14ac:dyDescent="0.2">
      <c r="A772" s="2" t="s">
        <v>496</v>
      </c>
      <c r="B772" s="9">
        <v>1</v>
      </c>
      <c r="C772" s="9">
        <v>6</v>
      </c>
      <c r="D772" s="10" t="s">
        <v>16</v>
      </c>
      <c r="E772" s="11" t="s">
        <v>569</v>
      </c>
      <c r="F772" s="12">
        <v>47</v>
      </c>
      <c r="G772" s="10" t="s">
        <v>83</v>
      </c>
      <c r="H772" s="13"/>
      <c r="I772" s="13"/>
      <c r="J772" s="10"/>
    </row>
    <row r="773" spans="1:10" ht="28.5" x14ac:dyDescent="0.2">
      <c r="A773" s="2" t="s">
        <v>496</v>
      </c>
      <c r="B773" s="9">
        <v>1</v>
      </c>
      <c r="C773" s="9">
        <v>6</v>
      </c>
      <c r="D773" s="10" t="s">
        <v>18</v>
      </c>
      <c r="E773" s="11" t="s">
        <v>570</v>
      </c>
      <c r="F773" s="12">
        <v>24</v>
      </c>
      <c r="G773" s="10" t="s">
        <v>83</v>
      </c>
      <c r="H773" s="13"/>
      <c r="I773" s="13"/>
      <c r="J773" s="10"/>
    </row>
    <row r="774" spans="1:10" ht="118.5" x14ac:dyDescent="0.2">
      <c r="A774" s="2" t="s">
        <v>496</v>
      </c>
      <c r="B774" s="9">
        <v>1</v>
      </c>
      <c r="C774" s="9">
        <v>6</v>
      </c>
      <c r="D774" s="10" t="s">
        <v>20</v>
      </c>
      <c r="E774" s="11" t="s">
        <v>571</v>
      </c>
      <c r="F774" s="12">
        <v>15</v>
      </c>
      <c r="G774" s="10" t="s">
        <v>83</v>
      </c>
      <c r="H774" s="13"/>
      <c r="I774" s="13"/>
      <c r="J774" s="10"/>
    </row>
    <row r="775" spans="1:10" ht="44.25" x14ac:dyDescent="0.2">
      <c r="A775" s="2" t="s">
        <v>496</v>
      </c>
      <c r="B775" s="9">
        <v>1</v>
      </c>
      <c r="C775" s="9">
        <v>6</v>
      </c>
      <c r="D775" s="10" t="s">
        <v>22</v>
      </c>
      <c r="E775" s="11" t="s">
        <v>572</v>
      </c>
      <c r="F775" s="12">
        <v>7.0000000000000009</v>
      </c>
      <c r="G775" s="10" t="s">
        <v>124</v>
      </c>
      <c r="H775" s="13"/>
      <c r="I775" s="13"/>
      <c r="J775" s="10"/>
    </row>
    <row r="776" spans="1:10" x14ac:dyDescent="0.2">
      <c r="A776" s="2" t="s">
        <v>496</v>
      </c>
      <c r="B776" s="9">
        <v>1</v>
      </c>
      <c r="C776" s="9">
        <v>6</v>
      </c>
      <c r="D776" s="10" t="s">
        <v>24</v>
      </c>
      <c r="E776" s="11" t="s">
        <v>573</v>
      </c>
      <c r="F776" s="12">
        <v>6</v>
      </c>
      <c r="G776" s="10" t="s">
        <v>124</v>
      </c>
      <c r="H776" s="13"/>
      <c r="I776" s="13"/>
      <c r="J776" s="10"/>
    </row>
    <row r="777" spans="1:10" x14ac:dyDescent="0.2">
      <c r="A777" s="2" t="s">
        <v>496</v>
      </c>
      <c r="B777" s="9">
        <v>1</v>
      </c>
      <c r="C777" s="9">
        <v>6</v>
      </c>
      <c r="D777" s="10" t="s">
        <v>27</v>
      </c>
      <c r="E777" s="11" t="s">
        <v>563</v>
      </c>
      <c r="F777" s="12">
        <v>1</v>
      </c>
      <c r="G777" s="10" t="s">
        <v>100</v>
      </c>
      <c r="H777" s="13"/>
      <c r="I777" s="6"/>
      <c r="J777" s="10"/>
    </row>
    <row r="778" spans="1:10" ht="179.25" x14ac:dyDescent="0.2">
      <c r="A778" s="2" t="s">
        <v>496</v>
      </c>
      <c r="B778" s="9">
        <v>1</v>
      </c>
      <c r="C778" s="9">
        <v>6</v>
      </c>
      <c r="D778" s="10" t="s">
        <v>29</v>
      </c>
      <c r="E778" s="11" t="s">
        <v>574</v>
      </c>
      <c r="F778" s="12">
        <v>208</v>
      </c>
      <c r="G778" s="10" t="s">
        <v>109</v>
      </c>
      <c r="H778" s="13"/>
      <c r="I778" s="13"/>
      <c r="J778" s="10"/>
    </row>
    <row r="779" spans="1:10" x14ac:dyDescent="0.2">
      <c r="A779" s="2" t="s">
        <v>496</v>
      </c>
      <c r="B779" s="9">
        <v>1</v>
      </c>
      <c r="C779" s="9">
        <v>6</v>
      </c>
      <c r="D779" s="10" t="s">
        <v>32</v>
      </c>
      <c r="E779" s="11" t="s">
        <v>575</v>
      </c>
      <c r="F779" s="12">
        <v>208</v>
      </c>
      <c r="G779" s="10" t="s">
        <v>109</v>
      </c>
      <c r="H779" s="13"/>
      <c r="I779" s="6"/>
      <c r="J779" s="10"/>
    </row>
    <row r="780" spans="1:10" ht="28.5" x14ac:dyDescent="0.2">
      <c r="A780" s="2" t="s">
        <v>496</v>
      </c>
      <c r="B780" s="9">
        <v>1</v>
      </c>
      <c r="C780" s="9">
        <v>6</v>
      </c>
      <c r="D780" s="10" t="s">
        <v>33</v>
      </c>
      <c r="E780" s="11" t="s">
        <v>576</v>
      </c>
      <c r="F780" s="12">
        <v>21</v>
      </c>
      <c r="G780" s="10" t="s">
        <v>83</v>
      </c>
      <c r="H780" s="13"/>
      <c r="I780" s="13"/>
      <c r="J780" s="10"/>
    </row>
    <row r="781" spans="1:10" x14ac:dyDescent="0.2">
      <c r="A781" s="2" t="s">
        <v>496</v>
      </c>
      <c r="B781" s="9">
        <v>1</v>
      </c>
      <c r="C781" s="9">
        <v>6</v>
      </c>
      <c r="D781" s="10" t="s">
        <v>34</v>
      </c>
      <c r="E781" s="11" t="s">
        <v>577</v>
      </c>
      <c r="F781" s="12">
        <v>7.0000000000000009</v>
      </c>
      <c r="G781" s="10" t="s">
        <v>83</v>
      </c>
      <c r="H781" s="13"/>
      <c r="I781" s="13"/>
      <c r="J781" s="10"/>
    </row>
    <row r="782" spans="1:10" x14ac:dyDescent="0.2">
      <c r="A782" s="2" t="s">
        <v>496</v>
      </c>
      <c r="B782" s="9">
        <v>1</v>
      </c>
      <c r="C782" s="9">
        <v>6</v>
      </c>
      <c r="D782" s="10" t="s">
        <v>35</v>
      </c>
      <c r="E782" s="11" t="s">
        <v>578</v>
      </c>
      <c r="F782" s="12">
        <v>36</v>
      </c>
      <c r="G782" s="10" t="s">
        <v>83</v>
      </c>
      <c r="H782" s="13"/>
      <c r="I782" s="13"/>
      <c r="J782" s="10"/>
    </row>
    <row r="783" spans="1:10" x14ac:dyDescent="0.2">
      <c r="A783" s="1" t="s">
        <v>579</v>
      </c>
      <c r="B783" s="1"/>
      <c r="C783" s="1"/>
      <c r="D783" s="1"/>
      <c r="E783" s="1"/>
      <c r="F783" s="1"/>
      <c r="G783" s="1"/>
      <c r="H783" s="1" t="s">
        <v>67</v>
      </c>
      <c r="I783" s="13">
        <f>I771+I772+I773+I774+I775+I776+I778+I780+I781+I782</f>
        <v>0</v>
      </c>
      <c r="J783" s="1"/>
    </row>
    <row r="786" spans="1:10" ht="15" x14ac:dyDescent="0.25">
      <c r="A786" s="21" t="s">
        <v>580</v>
      </c>
      <c r="B786" s="22"/>
      <c r="C786" s="22"/>
      <c r="D786" s="22"/>
      <c r="E786" s="22"/>
      <c r="F786" s="22"/>
      <c r="G786" s="22"/>
      <c r="H786" s="22"/>
      <c r="I786" s="22"/>
      <c r="J786" s="22"/>
    </row>
    <row r="787" spans="1:10" ht="15" x14ac:dyDescent="0.25">
      <c r="A787" s="21" t="s">
        <v>495</v>
      </c>
      <c r="B787" s="22"/>
      <c r="C787" s="22"/>
      <c r="D787" s="22"/>
      <c r="E787" s="22"/>
      <c r="F787" s="22"/>
      <c r="G787" s="22"/>
      <c r="H787" s="22"/>
      <c r="I787" s="22"/>
      <c r="J787" s="22"/>
    </row>
    <row r="789" spans="1:10" ht="15" x14ac:dyDescent="0.25">
      <c r="A789" s="3" t="s">
        <v>2</v>
      </c>
      <c r="B789" s="3" t="s">
        <v>3</v>
      </c>
      <c r="C789" s="3" t="s">
        <v>4</v>
      </c>
      <c r="D789" s="3" t="s">
        <v>5</v>
      </c>
      <c r="E789" s="3" t="s">
        <v>6</v>
      </c>
      <c r="F789" s="7" t="s">
        <v>7</v>
      </c>
      <c r="G789" s="3" t="s">
        <v>8</v>
      </c>
      <c r="H789" s="7" t="s">
        <v>9</v>
      </c>
      <c r="I789" s="7" t="s">
        <v>10</v>
      </c>
      <c r="J789" s="3" t="s">
        <v>11</v>
      </c>
    </row>
    <row r="790" spans="1:10" ht="179.25" x14ac:dyDescent="0.2">
      <c r="A790" s="2" t="s">
        <v>496</v>
      </c>
      <c r="B790" s="9">
        <v>1</v>
      </c>
      <c r="C790" s="9">
        <v>7</v>
      </c>
      <c r="D790" s="10" t="s">
        <v>13</v>
      </c>
      <c r="E790" s="11" t="s">
        <v>581</v>
      </c>
      <c r="F790" s="12">
        <v>26</v>
      </c>
      <c r="G790" s="10" t="s">
        <v>83</v>
      </c>
      <c r="H790" s="13"/>
      <c r="I790" s="13"/>
      <c r="J790" s="10"/>
    </row>
    <row r="791" spans="1:10" ht="57" x14ac:dyDescent="0.2">
      <c r="A791" s="2" t="s">
        <v>496</v>
      </c>
      <c r="B791" s="9">
        <v>1</v>
      </c>
      <c r="C791" s="9">
        <v>7</v>
      </c>
      <c r="D791" s="10" t="s">
        <v>16</v>
      </c>
      <c r="E791" s="11" t="s">
        <v>582</v>
      </c>
      <c r="F791" s="12">
        <v>15</v>
      </c>
      <c r="G791" s="10" t="s">
        <v>109</v>
      </c>
      <c r="H791" s="13"/>
      <c r="I791" s="13"/>
      <c r="J791" s="10"/>
    </row>
    <row r="792" spans="1:10" ht="149.25" x14ac:dyDescent="0.2">
      <c r="A792" s="2" t="s">
        <v>496</v>
      </c>
      <c r="B792" s="9">
        <v>1</v>
      </c>
      <c r="C792" s="9">
        <v>7</v>
      </c>
      <c r="D792" s="10" t="s">
        <v>18</v>
      </c>
      <c r="E792" s="11" t="s">
        <v>583</v>
      </c>
      <c r="F792" s="12">
        <v>56.000000000000007</v>
      </c>
      <c r="G792" s="10" t="s">
        <v>83</v>
      </c>
      <c r="H792" s="13"/>
      <c r="I792" s="13"/>
      <c r="J792" s="10"/>
    </row>
    <row r="793" spans="1:10" x14ac:dyDescent="0.2">
      <c r="A793" s="2" t="s">
        <v>496</v>
      </c>
      <c r="B793" s="9">
        <v>1</v>
      </c>
      <c r="C793" s="9">
        <v>7</v>
      </c>
      <c r="D793" s="10" t="s">
        <v>20</v>
      </c>
      <c r="E793" s="11" t="s">
        <v>584</v>
      </c>
      <c r="F793" s="12">
        <v>18</v>
      </c>
      <c r="G793" s="10" t="s">
        <v>83</v>
      </c>
      <c r="H793" s="13"/>
      <c r="I793" s="13"/>
      <c r="J793" s="10"/>
    </row>
    <row r="794" spans="1:10" ht="72.75" x14ac:dyDescent="0.2">
      <c r="A794" s="2" t="s">
        <v>496</v>
      </c>
      <c r="B794" s="9">
        <v>1</v>
      </c>
      <c r="C794" s="9">
        <v>7</v>
      </c>
      <c r="D794" s="10" t="s">
        <v>22</v>
      </c>
      <c r="E794" s="11" t="s">
        <v>585</v>
      </c>
      <c r="F794" s="12">
        <v>0</v>
      </c>
      <c r="G794" s="10"/>
      <c r="H794" s="13"/>
      <c r="I794" s="6"/>
      <c r="J794" s="10"/>
    </row>
    <row r="795" spans="1:10" x14ac:dyDescent="0.2">
      <c r="A795" s="2" t="s">
        <v>496</v>
      </c>
      <c r="B795" s="9">
        <v>1</v>
      </c>
      <c r="C795" s="9">
        <v>7</v>
      </c>
      <c r="D795" s="10" t="s">
        <v>24</v>
      </c>
      <c r="E795" s="11" t="s">
        <v>586</v>
      </c>
      <c r="F795" s="12">
        <v>1</v>
      </c>
      <c r="G795" s="10" t="s">
        <v>100</v>
      </c>
      <c r="H795" s="13"/>
      <c r="I795" s="6"/>
      <c r="J795" s="10"/>
    </row>
    <row r="796" spans="1:10" ht="119.25" x14ac:dyDescent="0.2">
      <c r="A796" s="2" t="s">
        <v>496</v>
      </c>
      <c r="B796" s="9">
        <v>1</v>
      </c>
      <c r="C796" s="9">
        <v>7</v>
      </c>
      <c r="D796" s="10" t="s">
        <v>27</v>
      </c>
      <c r="E796" s="11" t="s">
        <v>587</v>
      </c>
      <c r="F796" s="12">
        <v>1442.9999999999998</v>
      </c>
      <c r="G796" s="10" t="s">
        <v>109</v>
      </c>
      <c r="H796" s="13"/>
      <c r="I796" s="13"/>
      <c r="J796" s="10"/>
    </row>
    <row r="797" spans="1:10" x14ac:dyDescent="0.2">
      <c r="A797" s="2" t="s">
        <v>496</v>
      </c>
      <c r="B797" s="9">
        <v>1</v>
      </c>
      <c r="C797" s="9">
        <v>7</v>
      </c>
      <c r="D797" s="10" t="s">
        <v>29</v>
      </c>
      <c r="E797" s="11" t="s">
        <v>588</v>
      </c>
      <c r="F797" s="12">
        <v>1384</v>
      </c>
      <c r="G797" s="10" t="s">
        <v>83</v>
      </c>
      <c r="H797" s="13"/>
      <c r="I797" s="13"/>
      <c r="J797" s="10"/>
    </row>
    <row r="798" spans="1:10" ht="28.5" x14ac:dyDescent="0.2">
      <c r="A798" s="2" t="s">
        <v>496</v>
      </c>
      <c r="B798" s="9">
        <v>1</v>
      </c>
      <c r="C798" s="9">
        <v>7</v>
      </c>
      <c r="D798" s="10" t="s">
        <v>32</v>
      </c>
      <c r="E798" s="11" t="s">
        <v>589</v>
      </c>
      <c r="F798" s="12">
        <v>257</v>
      </c>
      <c r="G798" s="10" t="s">
        <v>83</v>
      </c>
      <c r="H798" s="13"/>
      <c r="I798" s="13"/>
      <c r="J798" s="10"/>
    </row>
    <row r="799" spans="1:10" ht="28.5" x14ac:dyDescent="0.2">
      <c r="A799" s="2" t="s">
        <v>496</v>
      </c>
      <c r="B799" s="9">
        <v>1</v>
      </c>
      <c r="C799" s="9">
        <v>7</v>
      </c>
      <c r="D799" s="10" t="s">
        <v>33</v>
      </c>
      <c r="E799" s="11" t="s">
        <v>590</v>
      </c>
      <c r="F799" s="12">
        <v>44</v>
      </c>
      <c r="G799" s="10" t="s">
        <v>83</v>
      </c>
      <c r="H799" s="13"/>
      <c r="I799" s="13"/>
      <c r="J799" s="10"/>
    </row>
    <row r="800" spans="1:10" ht="28.5" x14ac:dyDescent="0.2">
      <c r="A800" s="2" t="s">
        <v>496</v>
      </c>
      <c r="B800" s="9">
        <v>1</v>
      </c>
      <c r="C800" s="9">
        <v>7</v>
      </c>
      <c r="D800" s="10" t="s">
        <v>34</v>
      </c>
      <c r="E800" s="11" t="s">
        <v>591</v>
      </c>
      <c r="F800" s="12">
        <v>9</v>
      </c>
      <c r="G800" s="10" t="s">
        <v>83</v>
      </c>
      <c r="H800" s="13"/>
      <c r="I800" s="13"/>
      <c r="J800" s="10"/>
    </row>
    <row r="801" spans="1:10" ht="28.5" x14ac:dyDescent="0.2">
      <c r="A801" s="2" t="s">
        <v>496</v>
      </c>
      <c r="B801" s="9">
        <v>1</v>
      </c>
      <c r="C801" s="9">
        <v>7</v>
      </c>
      <c r="D801" s="10" t="s">
        <v>35</v>
      </c>
      <c r="E801" s="11" t="s">
        <v>592</v>
      </c>
      <c r="F801" s="12">
        <v>5</v>
      </c>
      <c r="G801" s="10" t="s">
        <v>83</v>
      </c>
      <c r="H801" s="13"/>
      <c r="I801" s="13"/>
      <c r="J801" s="10"/>
    </row>
    <row r="802" spans="1:10" ht="57" x14ac:dyDescent="0.2">
      <c r="A802" s="2" t="s">
        <v>496</v>
      </c>
      <c r="B802" s="9">
        <v>1</v>
      </c>
      <c r="C802" s="9">
        <v>7</v>
      </c>
      <c r="D802" s="10" t="s">
        <v>36</v>
      </c>
      <c r="E802" s="11" t="s">
        <v>593</v>
      </c>
      <c r="F802" s="12">
        <v>5</v>
      </c>
      <c r="G802" s="10" t="s">
        <v>83</v>
      </c>
      <c r="H802" s="13"/>
      <c r="I802" s="13"/>
      <c r="J802" s="10"/>
    </row>
    <row r="803" spans="1:10" ht="28.5" x14ac:dyDescent="0.2">
      <c r="A803" s="2" t="s">
        <v>496</v>
      </c>
      <c r="B803" s="9">
        <v>1</v>
      </c>
      <c r="C803" s="9">
        <v>7</v>
      </c>
      <c r="D803" s="10" t="s">
        <v>40</v>
      </c>
      <c r="E803" s="11" t="s">
        <v>594</v>
      </c>
      <c r="F803" s="12">
        <v>14.000000000000002</v>
      </c>
      <c r="G803" s="10" t="s">
        <v>83</v>
      </c>
      <c r="H803" s="13"/>
      <c r="I803" s="13"/>
      <c r="J803" s="10"/>
    </row>
    <row r="804" spans="1:10" x14ac:dyDescent="0.2">
      <c r="A804" s="1" t="s">
        <v>595</v>
      </c>
      <c r="B804" s="1"/>
      <c r="C804" s="1"/>
      <c r="D804" s="1"/>
      <c r="E804" s="1"/>
      <c r="F804" s="1"/>
      <c r="G804" s="1"/>
      <c r="H804" s="1" t="s">
        <v>67</v>
      </c>
      <c r="I804" s="13">
        <f>I790+I791+I792+I793+I796+I797+I798+I799+I800+I801+I802+I803</f>
        <v>0</v>
      </c>
      <c r="J804" s="1"/>
    </row>
    <row r="807" spans="1:10" ht="15" x14ac:dyDescent="0.25">
      <c r="A807" s="21" t="s">
        <v>596</v>
      </c>
      <c r="B807" s="22"/>
      <c r="C807" s="22"/>
      <c r="D807" s="22"/>
      <c r="E807" s="22"/>
      <c r="F807" s="22"/>
      <c r="G807" s="22"/>
      <c r="H807" s="22"/>
      <c r="I807" s="22"/>
      <c r="J807" s="22"/>
    </row>
    <row r="808" spans="1:10" ht="15" x14ac:dyDescent="0.25">
      <c r="A808" s="21" t="s">
        <v>495</v>
      </c>
      <c r="B808" s="22"/>
      <c r="C808" s="22"/>
      <c r="D808" s="22"/>
      <c r="E808" s="22"/>
      <c r="F808" s="22"/>
      <c r="G808" s="22"/>
      <c r="H808" s="22"/>
      <c r="I808" s="22"/>
      <c r="J808" s="22"/>
    </row>
    <row r="810" spans="1:10" ht="15" x14ac:dyDescent="0.25">
      <c r="A810" s="3" t="s">
        <v>2</v>
      </c>
      <c r="B810" s="3" t="s">
        <v>3</v>
      </c>
      <c r="C810" s="3" t="s">
        <v>4</v>
      </c>
      <c r="D810" s="3" t="s">
        <v>5</v>
      </c>
      <c r="E810" s="3" t="s">
        <v>6</v>
      </c>
      <c r="F810" s="7" t="s">
        <v>7</v>
      </c>
      <c r="G810" s="3" t="s">
        <v>8</v>
      </c>
      <c r="H810" s="7" t="s">
        <v>9</v>
      </c>
      <c r="I810" s="7" t="s">
        <v>10</v>
      </c>
      <c r="J810" s="3" t="s">
        <v>11</v>
      </c>
    </row>
    <row r="811" spans="1:10" ht="133.5" x14ac:dyDescent="0.2">
      <c r="A811" s="2" t="s">
        <v>496</v>
      </c>
      <c r="B811" s="9">
        <v>1</v>
      </c>
      <c r="C811" s="9">
        <v>8</v>
      </c>
      <c r="D811" s="10" t="s">
        <v>13</v>
      </c>
      <c r="E811" s="11" t="s">
        <v>597</v>
      </c>
      <c r="F811" s="12">
        <v>430.99999999999994</v>
      </c>
      <c r="G811" s="10" t="s">
        <v>83</v>
      </c>
      <c r="H811" s="13"/>
      <c r="I811" s="13"/>
      <c r="J811" s="10"/>
    </row>
    <row r="812" spans="1:10" ht="42.75" x14ac:dyDescent="0.2">
      <c r="A812" s="2" t="s">
        <v>496</v>
      </c>
      <c r="B812" s="9">
        <v>1</v>
      </c>
      <c r="C812" s="9">
        <v>8</v>
      </c>
      <c r="D812" s="10" t="s">
        <v>16</v>
      </c>
      <c r="E812" s="11" t="s">
        <v>598</v>
      </c>
      <c r="F812" s="12">
        <v>699</v>
      </c>
      <c r="G812" s="10" t="s">
        <v>83</v>
      </c>
      <c r="H812" s="13"/>
      <c r="I812" s="13"/>
      <c r="J812" s="10"/>
    </row>
    <row r="813" spans="1:10" ht="28.5" x14ac:dyDescent="0.2">
      <c r="A813" s="2" t="s">
        <v>496</v>
      </c>
      <c r="B813" s="9">
        <v>1</v>
      </c>
      <c r="C813" s="9">
        <v>8</v>
      </c>
      <c r="D813" s="10" t="s">
        <v>18</v>
      </c>
      <c r="E813" s="11" t="s">
        <v>599</v>
      </c>
      <c r="F813" s="12">
        <v>4</v>
      </c>
      <c r="G813" s="10" t="s">
        <v>124</v>
      </c>
      <c r="H813" s="13"/>
      <c r="I813" s="13"/>
      <c r="J813" s="10"/>
    </row>
    <row r="814" spans="1:10" ht="28.5" x14ac:dyDescent="0.2">
      <c r="A814" s="2" t="s">
        <v>496</v>
      </c>
      <c r="B814" s="9">
        <v>1</v>
      </c>
      <c r="C814" s="9">
        <v>8</v>
      </c>
      <c r="D814" s="10" t="s">
        <v>20</v>
      </c>
      <c r="E814" s="11" t="s">
        <v>600</v>
      </c>
      <c r="F814" s="12">
        <v>14.000000000000002</v>
      </c>
      <c r="G814" s="10" t="s">
        <v>124</v>
      </c>
      <c r="H814" s="13"/>
      <c r="I814" s="13"/>
      <c r="J814" s="10"/>
    </row>
    <row r="815" spans="1:10" ht="133.5" x14ac:dyDescent="0.2">
      <c r="A815" s="2" t="s">
        <v>496</v>
      </c>
      <c r="B815" s="9">
        <v>1</v>
      </c>
      <c r="C815" s="9">
        <v>8</v>
      </c>
      <c r="D815" s="10" t="s">
        <v>22</v>
      </c>
      <c r="E815" s="11" t="s">
        <v>601</v>
      </c>
      <c r="F815" s="12">
        <v>1650</v>
      </c>
      <c r="G815" s="10" t="s">
        <v>109</v>
      </c>
      <c r="H815" s="13"/>
      <c r="I815" s="13"/>
      <c r="J815" s="10"/>
    </row>
    <row r="816" spans="1:10" ht="89.25" x14ac:dyDescent="0.2">
      <c r="A816" s="2" t="s">
        <v>496</v>
      </c>
      <c r="B816" s="9">
        <v>1</v>
      </c>
      <c r="C816" s="9">
        <v>8</v>
      </c>
      <c r="D816" s="10" t="s">
        <v>24</v>
      </c>
      <c r="E816" s="11" t="s">
        <v>602</v>
      </c>
      <c r="F816" s="12">
        <v>1768</v>
      </c>
      <c r="G816" s="10" t="s">
        <v>109</v>
      </c>
      <c r="H816" s="13"/>
      <c r="I816" s="13"/>
      <c r="J816" s="10"/>
    </row>
    <row r="817" spans="1:10" ht="119.25" x14ac:dyDescent="0.2">
      <c r="A817" s="2" t="s">
        <v>496</v>
      </c>
      <c r="B817" s="9">
        <v>1</v>
      </c>
      <c r="C817" s="9">
        <v>8</v>
      </c>
      <c r="D817" s="10" t="s">
        <v>27</v>
      </c>
      <c r="E817" s="11" t="s">
        <v>603</v>
      </c>
      <c r="F817" s="12">
        <v>36</v>
      </c>
      <c r="G817" s="10" t="s">
        <v>109</v>
      </c>
      <c r="H817" s="13"/>
      <c r="I817" s="13"/>
      <c r="J817" s="10"/>
    </row>
    <row r="818" spans="1:10" ht="119.25" x14ac:dyDescent="0.2">
      <c r="A818" s="2" t="s">
        <v>496</v>
      </c>
      <c r="B818" s="9">
        <v>1</v>
      </c>
      <c r="C818" s="9">
        <v>8</v>
      </c>
      <c r="D818" s="10" t="s">
        <v>29</v>
      </c>
      <c r="E818" s="11" t="s">
        <v>604</v>
      </c>
      <c r="F818" s="12">
        <v>1336</v>
      </c>
      <c r="G818" s="10" t="s">
        <v>109</v>
      </c>
      <c r="H818" s="13"/>
      <c r="I818" s="13"/>
      <c r="J818" s="10"/>
    </row>
    <row r="819" spans="1:10" x14ac:dyDescent="0.2">
      <c r="A819" s="2" t="s">
        <v>496</v>
      </c>
      <c r="B819" s="9">
        <v>1</v>
      </c>
      <c r="C819" s="9">
        <v>8</v>
      </c>
      <c r="D819" s="10" t="s">
        <v>32</v>
      </c>
      <c r="E819" s="11" t="s">
        <v>605</v>
      </c>
      <c r="F819" s="12">
        <v>1384</v>
      </c>
      <c r="G819" s="10" t="s">
        <v>83</v>
      </c>
      <c r="H819" s="13"/>
      <c r="I819" s="13"/>
      <c r="J819" s="10"/>
    </row>
    <row r="820" spans="1:10" ht="44.25" x14ac:dyDescent="0.2">
      <c r="A820" s="2" t="s">
        <v>496</v>
      </c>
      <c r="B820" s="9">
        <v>1</v>
      </c>
      <c r="C820" s="9">
        <v>8</v>
      </c>
      <c r="D820" s="10" t="s">
        <v>33</v>
      </c>
      <c r="E820" s="11" t="s">
        <v>606</v>
      </c>
      <c r="F820" s="12">
        <v>250</v>
      </c>
      <c r="G820" s="10" t="s">
        <v>83</v>
      </c>
      <c r="H820" s="13"/>
      <c r="I820" s="13"/>
      <c r="J820" s="10"/>
    </row>
    <row r="821" spans="1:10" x14ac:dyDescent="0.2">
      <c r="A821" s="1" t="s">
        <v>607</v>
      </c>
      <c r="B821" s="1"/>
      <c r="C821" s="1"/>
      <c r="D821" s="1"/>
      <c r="E821" s="1"/>
      <c r="F821" s="1"/>
      <c r="G821" s="1"/>
      <c r="H821" s="1" t="s">
        <v>67</v>
      </c>
      <c r="I821" s="13">
        <f>I811+I812+I813+I814+I815+I816+I817+I818+I819+I820</f>
        <v>0</v>
      </c>
      <c r="J821" s="1"/>
    </row>
    <row r="829" spans="1:10" ht="15" x14ac:dyDescent="0.25">
      <c r="A829" s="3" t="s">
        <v>89</v>
      </c>
      <c r="B829" s="14"/>
      <c r="C829" s="14"/>
      <c r="D829" s="14"/>
      <c r="E829" s="14"/>
      <c r="F829" s="14"/>
      <c r="G829" s="14"/>
      <c r="H829" s="14"/>
      <c r="I829" s="7" t="s">
        <v>90</v>
      </c>
    </row>
    <row r="830" spans="1:10" x14ac:dyDescent="0.2">
      <c r="A830" s="15" t="s">
        <v>608</v>
      </c>
      <c r="I830" s="16">
        <f>I681</f>
        <v>0</v>
      </c>
    </row>
    <row r="831" spans="1:10" x14ac:dyDescent="0.2">
      <c r="A831" s="15" t="s">
        <v>609</v>
      </c>
      <c r="I831" s="16">
        <f>I706</f>
        <v>0</v>
      </c>
    </row>
    <row r="832" spans="1:10" x14ac:dyDescent="0.2">
      <c r="A832" s="15" t="s">
        <v>610</v>
      </c>
      <c r="I832" s="16">
        <f>I727</f>
        <v>0</v>
      </c>
    </row>
    <row r="833" spans="1:10" x14ac:dyDescent="0.2">
      <c r="A833" s="15" t="s">
        <v>611</v>
      </c>
      <c r="I833" s="16">
        <f>I745</f>
        <v>0</v>
      </c>
    </row>
    <row r="834" spans="1:10" x14ac:dyDescent="0.2">
      <c r="A834" s="15" t="s">
        <v>612</v>
      </c>
      <c r="I834" s="16">
        <f>I764</f>
        <v>0</v>
      </c>
    </row>
    <row r="835" spans="1:10" x14ac:dyDescent="0.2">
      <c r="A835" s="15" t="s">
        <v>613</v>
      </c>
      <c r="I835" s="16">
        <f>I783</f>
        <v>0</v>
      </c>
    </row>
    <row r="836" spans="1:10" x14ac:dyDescent="0.2">
      <c r="A836" s="15" t="s">
        <v>614</v>
      </c>
      <c r="I836" s="16">
        <f>I804</f>
        <v>0</v>
      </c>
    </row>
    <row r="837" spans="1:10" x14ac:dyDescent="0.2">
      <c r="A837" s="15" t="s">
        <v>615</v>
      </c>
      <c r="I837" s="16">
        <f>I821</f>
        <v>0</v>
      </c>
    </row>
    <row r="838" spans="1:10" x14ac:dyDescent="0.2">
      <c r="A838" s="15"/>
      <c r="I838" s="15"/>
    </row>
    <row r="839" spans="1:10" x14ac:dyDescent="0.2">
      <c r="A839" s="17"/>
      <c r="B839" s="18"/>
      <c r="C839" s="18"/>
      <c r="D839" s="18"/>
      <c r="E839" s="18"/>
      <c r="F839" s="18"/>
      <c r="G839" s="18"/>
      <c r="H839" s="18"/>
      <c r="I839" s="17"/>
    </row>
    <row r="840" spans="1:10" x14ac:dyDescent="0.2">
      <c r="H840" s="4" t="s">
        <v>95</v>
      </c>
      <c r="I840" s="13">
        <f>SUM(I830:I839)</f>
        <v>0</v>
      </c>
    </row>
    <row r="844" spans="1:10" ht="15" x14ac:dyDescent="0.25">
      <c r="A844" s="21" t="s">
        <v>616</v>
      </c>
      <c r="B844" s="22"/>
      <c r="C844" s="22"/>
      <c r="D844" s="22"/>
      <c r="E844" s="22"/>
      <c r="F844" s="22"/>
      <c r="G844" s="22"/>
      <c r="H844" s="22"/>
      <c r="I844" s="22"/>
      <c r="J844" s="22"/>
    </row>
    <row r="845" spans="1:10" ht="15" x14ac:dyDescent="0.25">
      <c r="A845" s="21" t="s">
        <v>617</v>
      </c>
      <c r="B845" s="22"/>
      <c r="C845" s="22"/>
      <c r="D845" s="22"/>
      <c r="E845" s="22"/>
      <c r="F845" s="22"/>
      <c r="G845" s="22"/>
      <c r="H845" s="22"/>
      <c r="I845" s="22"/>
      <c r="J845" s="22"/>
    </row>
    <row r="847" spans="1:10" ht="15" x14ac:dyDescent="0.25">
      <c r="A847" s="3" t="s">
        <v>2</v>
      </c>
      <c r="B847" s="3" t="s">
        <v>3</v>
      </c>
      <c r="C847" s="3" t="s">
        <v>4</v>
      </c>
      <c r="D847" s="3" t="s">
        <v>5</v>
      </c>
      <c r="E847" s="3" t="s">
        <v>6</v>
      </c>
      <c r="F847" s="7" t="s">
        <v>7</v>
      </c>
      <c r="G847" s="3" t="s">
        <v>8</v>
      </c>
      <c r="H847" s="7" t="s">
        <v>9</v>
      </c>
      <c r="I847" s="7" t="s">
        <v>10</v>
      </c>
      <c r="J847" s="3" t="s">
        <v>11</v>
      </c>
    </row>
    <row r="848" spans="1:10" ht="258" x14ac:dyDescent="0.2">
      <c r="A848" s="2" t="s">
        <v>618</v>
      </c>
      <c r="B848" s="9">
        <v>1</v>
      </c>
      <c r="C848" s="9">
        <v>1</v>
      </c>
      <c r="D848" s="10" t="s">
        <v>13</v>
      </c>
      <c r="E848" s="11" t="s">
        <v>619</v>
      </c>
      <c r="F848" s="12">
        <v>0</v>
      </c>
      <c r="G848" s="10"/>
      <c r="H848" s="13"/>
      <c r="I848" s="13"/>
      <c r="J848" s="10"/>
    </row>
    <row r="849" spans="1:10" x14ac:dyDescent="0.2">
      <c r="A849" s="2" t="s">
        <v>618</v>
      </c>
      <c r="B849" s="9">
        <v>1</v>
      </c>
      <c r="C849" s="9">
        <v>1</v>
      </c>
      <c r="D849" s="10" t="s">
        <v>16</v>
      </c>
      <c r="E849" s="11" t="s">
        <v>620</v>
      </c>
      <c r="F849" s="12">
        <v>97</v>
      </c>
      <c r="G849" s="10" t="s">
        <v>109</v>
      </c>
      <c r="H849" s="13"/>
      <c r="I849" s="13"/>
      <c r="J849" s="10"/>
    </row>
    <row r="850" spans="1:10" ht="28.5" x14ac:dyDescent="0.2">
      <c r="A850" s="2" t="s">
        <v>618</v>
      </c>
      <c r="B850" s="9">
        <v>1</v>
      </c>
      <c r="C850" s="9">
        <v>1</v>
      </c>
      <c r="D850" s="10" t="s">
        <v>18</v>
      </c>
      <c r="E850" s="11" t="s">
        <v>621</v>
      </c>
      <c r="F850" s="12">
        <v>1</v>
      </c>
      <c r="G850" s="10" t="s">
        <v>124</v>
      </c>
      <c r="H850" s="13"/>
      <c r="I850" s="6"/>
      <c r="J850" s="10"/>
    </row>
    <row r="851" spans="1:10" ht="28.5" x14ac:dyDescent="0.2">
      <c r="A851" s="2" t="s">
        <v>618</v>
      </c>
      <c r="B851" s="9">
        <v>1</v>
      </c>
      <c r="C851" s="9">
        <v>1</v>
      </c>
      <c r="D851" s="10" t="s">
        <v>20</v>
      </c>
      <c r="E851" s="11" t="s">
        <v>622</v>
      </c>
      <c r="F851" s="12">
        <v>4</v>
      </c>
      <c r="G851" s="10" t="s">
        <v>623</v>
      </c>
      <c r="H851" s="13"/>
      <c r="I851" s="6"/>
      <c r="J851" s="10"/>
    </row>
    <row r="852" spans="1:10" ht="28.5" x14ac:dyDescent="0.2">
      <c r="A852" s="2" t="s">
        <v>618</v>
      </c>
      <c r="B852" s="9">
        <v>1</v>
      </c>
      <c r="C852" s="9">
        <v>1</v>
      </c>
      <c r="D852" s="10" t="s">
        <v>22</v>
      </c>
      <c r="E852" s="11" t="s">
        <v>624</v>
      </c>
      <c r="F852" s="12">
        <v>1</v>
      </c>
      <c r="G852" s="10" t="s">
        <v>124</v>
      </c>
      <c r="H852" s="13"/>
      <c r="I852" s="6"/>
      <c r="J852" s="10"/>
    </row>
    <row r="853" spans="1:10" ht="28.5" x14ac:dyDescent="0.2">
      <c r="A853" s="2" t="s">
        <v>618</v>
      </c>
      <c r="B853" s="9">
        <v>1</v>
      </c>
      <c r="C853" s="9">
        <v>1</v>
      </c>
      <c r="D853" s="10" t="s">
        <v>24</v>
      </c>
      <c r="E853" s="11" t="s">
        <v>625</v>
      </c>
      <c r="F853" s="12">
        <v>112.99999999999999</v>
      </c>
      <c r="G853" s="10" t="s">
        <v>109</v>
      </c>
      <c r="H853" s="13"/>
      <c r="I853" s="6"/>
      <c r="J853" s="10"/>
    </row>
    <row r="854" spans="1:10" ht="28.5" x14ac:dyDescent="0.2">
      <c r="A854" s="2" t="s">
        <v>618</v>
      </c>
      <c r="B854" s="9">
        <v>1</v>
      </c>
      <c r="C854" s="9">
        <v>1</v>
      </c>
      <c r="D854" s="10" t="s">
        <v>27</v>
      </c>
      <c r="E854" s="11" t="s">
        <v>626</v>
      </c>
      <c r="F854" s="12">
        <v>2</v>
      </c>
      <c r="G854" s="10" t="s">
        <v>623</v>
      </c>
      <c r="H854" s="13"/>
      <c r="I854" s="6"/>
      <c r="J854" s="10"/>
    </row>
    <row r="855" spans="1:10" ht="28.5" x14ac:dyDescent="0.2">
      <c r="A855" s="2" t="s">
        <v>618</v>
      </c>
      <c r="B855" s="9">
        <v>1</v>
      </c>
      <c r="C855" s="9">
        <v>1</v>
      </c>
      <c r="D855" s="10" t="s">
        <v>29</v>
      </c>
      <c r="E855" s="11" t="s">
        <v>627</v>
      </c>
      <c r="F855" s="12">
        <v>2</v>
      </c>
      <c r="G855" s="10" t="s">
        <v>623</v>
      </c>
      <c r="H855" s="13"/>
      <c r="I855" s="6"/>
      <c r="J855" s="10"/>
    </row>
    <row r="856" spans="1:10" x14ac:dyDescent="0.2">
      <c r="A856" s="2" t="s">
        <v>618</v>
      </c>
      <c r="B856" s="9">
        <v>1</v>
      </c>
      <c r="C856" s="9">
        <v>1</v>
      </c>
      <c r="D856" s="10" t="s">
        <v>32</v>
      </c>
      <c r="E856" s="11" t="s">
        <v>628</v>
      </c>
      <c r="F856" s="12">
        <v>114.00000000000001</v>
      </c>
      <c r="G856" s="10" t="s">
        <v>109</v>
      </c>
      <c r="H856" s="13"/>
      <c r="I856" s="6"/>
      <c r="J856" s="10"/>
    </row>
    <row r="857" spans="1:10" ht="28.5" x14ac:dyDescent="0.2">
      <c r="A857" s="2" t="s">
        <v>618</v>
      </c>
      <c r="B857" s="9">
        <v>1</v>
      </c>
      <c r="C857" s="9">
        <v>1</v>
      </c>
      <c r="D857" s="10" t="s">
        <v>33</v>
      </c>
      <c r="E857" s="11" t="s">
        <v>629</v>
      </c>
      <c r="F857" s="12">
        <v>1</v>
      </c>
      <c r="G857" s="10" t="s">
        <v>623</v>
      </c>
      <c r="H857" s="13"/>
      <c r="I857" s="6"/>
      <c r="J857" s="10"/>
    </row>
    <row r="858" spans="1:10" ht="28.5" x14ac:dyDescent="0.2">
      <c r="A858" s="2" t="s">
        <v>618</v>
      </c>
      <c r="B858" s="9">
        <v>1</v>
      </c>
      <c r="C858" s="9">
        <v>1</v>
      </c>
      <c r="D858" s="10" t="s">
        <v>34</v>
      </c>
      <c r="E858" s="11" t="s">
        <v>630</v>
      </c>
      <c r="F858" s="12">
        <v>148</v>
      </c>
      <c r="G858" s="10" t="s">
        <v>109</v>
      </c>
      <c r="H858" s="13"/>
      <c r="I858" s="6"/>
      <c r="J858" s="10"/>
    </row>
    <row r="859" spans="1:10" ht="28.5" x14ac:dyDescent="0.2">
      <c r="A859" s="2" t="s">
        <v>618</v>
      </c>
      <c r="B859" s="9">
        <v>1</v>
      </c>
      <c r="C859" s="9">
        <v>1</v>
      </c>
      <c r="D859" s="10" t="s">
        <v>35</v>
      </c>
      <c r="E859" s="11" t="s">
        <v>631</v>
      </c>
      <c r="F859" s="12">
        <v>13</v>
      </c>
      <c r="G859" s="10" t="s">
        <v>124</v>
      </c>
      <c r="H859" s="13"/>
      <c r="I859" s="13"/>
      <c r="J859" s="10"/>
    </row>
    <row r="860" spans="1:10" ht="28.5" x14ac:dyDescent="0.2">
      <c r="A860" s="2" t="s">
        <v>618</v>
      </c>
      <c r="B860" s="9">
        <v>1</v>
      </c>
      <c r="C860" s="9">
        <v>1</v>
      </c>
      <c r="D860" s="10" t="s">
        <v>36</v>
      </c>
      <c r="E860" s="11" t="s">
        <v>632</v>
      </c>
      <c r="F860" s="12">
        <v>16</v>
      </c>
      <c r="G860" s="10" t="s">
        <v>109</v>
      </c>
      <c r="H860" s="13"/>
      <c r="I860" s="6"/>
      <c r="J860" s="10"/>
    </row>
    <row r="861" spans="1:10" x14ac:dyDescent="0.2">
      <c r="A861" s="1" t="s">
        <v>633</v>
      </c>
      <c r="B861" s="1"/>
      <c r="C861" s="1"/>
      <c r="D861" s="1"/>
      <c r="E861" s="1"/>
      <c r="F861" s="1"/>
      <c r="G861" s="1"/>
      <c r="H861" s="1" t="s">
        <v>67</v>
      </c>
      <c r="I861" s="13">
        <f>I848+I849+I859</f>
        <v>0</v>
      </c>
      <c r="J861" s="1"/>
    </row>
    <row r="864" spans="1:10" ht="15" x14ac:dyDescent="0.25">
      <c r="A864" s="21" t="s">
        <v>634</v>
      </c>
      <c r="B864" s="22"/>
      <c r="C864" s="22"/>
      <c r="D864" s="22"/>
      <c r="E864" s="22"/>
      <c r="F864" s="22"/>
      <c r="G864" s="22"/>
      <c r="H864" s="22"/>
      <c r="I864" s="22"/>
      <c r="J864" s="22"/>
    </row>
    <row r="865" spans="1:10" ht="15" x14ac:dyDescent="0.25">
      <c r="A865" s="21" t="s">
        <v>617</v>
      </c>
      <c r="B865" s="22"/>
      <c r="C865" s="22"/>
      <c r="D865" s="22"/>
      <c r="E865" s="22"/>
      <c r="F865" s="22"/>
      <c r="G865" s="22"/>
      <c r="H865" s="22"/>
      <c r="I865" s="22"/>
      <c r="J865" s="22"/>
    </row>
    <row r="867" spans="1:10" ht="15" x14ac:dyDescent="0.25">
      <c r="A867" s="3" t="s">
        <v>2</v>
      </c>
      <c r="B867" s="3" t="s">
        <v>3</v>
      </c>
      <c r="C867" s="3" t="s">
        <v>4</v>
      </c>
      <c r="D867" s="3" t="s">
        <v>5</v>
      </c>
      <c r="E867" s="3" t="s">
        <v>6</v>
      </c>
      <c r="F867" s="7" t="s">
        <v>7</v>
      </c>
      <c r="G867" s="3" t="s">
        <v>8</v>
      </c>
      <c r="H867" s="7" t="s">
        <v>9</v>
      </c>
      <c r="I867" s="7" t="s">
        <v>10</v>
      </c>
      <c r="J867" s="3" t="s">
        <v>11</v>
      </c>
    </row>
    <row r="868" spans="1:10" ht="194.25" x14ac:dyDescent="0.2">
      <c r="A868" s="2" t="s">
        <v>618</v>
      </c>
      <c r="B868" s="9">
        <v>1</v>
      </c>
      <c r="C868" s="9">
        <v>2</v>
      </c>
      <c r="D868" s="10" t="s">
        <v>13</v>
      </c>
      <c r="E868" s="11" t="s">
        <v>635</v>
      </c>
      <c r="F868" s="12">
        <v>279</v>
      </c>
      <c r="G868" s="10" t="s">
        <v>109</v>
      </c>
      <c r="H868" s="13"/>
      <c r="I868" s="6"/>
      <c r="J868" s="10"/>
    </row>
    <row r="869" spans="1:10" ht="28.5" x14ac:dyDescent="0.2">
      <c r="A869" s="2" t="s">
        <v>618</v>
      </c>
      <c r="B869" s="9">
        <v>1</v>
      </c>
      <c r="C869" s="9">
        <v>2</v>
      </c>
      <c r="D869" s="10" t="s">
        <v>16</v>
      </c>
      <c r="E869" s="11" t="s">
        <v>629</v>
      </c>
      <c r="F869" s="12">
        <v>3</v>
      </c>
      <c r="G869" s="10" t="s">
        <v>623</v>
      </c>
      <c r="H869" s="13"/>
      <c r="I869" s="6"/>
      <c r="J869" s="10"/>
    </row>
    <row r="870" spans="1:10" ht="28.5" x14ac:dyDescent="0.2">
      <c r="A870" s="2" t="s">
        <v>618</v>
      </c>
      <c r="B870" s="9">
        <v>1</v>
      </c>
      <c r="C870" s="9">
        <v>2</v>
      </c>
      <c r="D870" s="10" t="s">
        <v>18</v>
      </c>
      <c r="E870" s="11" t="s">
        <v>636</v>
      </c>
      <c r="F870" s="12">
        <v>332</v>
      </c>
      <c r="G870" s="10" t="s">
        <v>109</v>
      </c>
      <c r="H870" s="13"/>
      <c r="I870" s="6"/>
      <c r="J870" s="10"/>
    </row>
    <row r="871" spans="1:10" ht="28.5" x14ac:dyDescent="0.2">
      <c r="A871" s="2" t="s">
        <v>618</v>
      </c>
      <c r="B871" s="9">
        <v>1</v>
      </c>
      <c r="C871" s="9">
        <v>2</v>
      </c>
      <c r="D871" s="10" t="s">
        <v>20</v>
      </c>
      <c r="E871" s="11" t="s">
        <v>631</v>
      </c>
      <c r="F871" s="12">
        <v>37</v>
      </c>
      <c r="G871" s="10" t="s">
        <v>124</v>
      </c>
      <c r="H871" s="13"/>
      <c r="I871" s="13"/>
      <c r="J871" s="10"/>
    </row>
    <row r="872" spans="1:10" ht="28.5" x14ac:dyDescent="0.2">
      <c r="A872" s="2" t="s">
        <v>618</v>
      </c>
      <c r="B872" s="9">
        <v>1</v>
      </c>
      <c r="C872" s="9">
        <v>2</v>
      </c>
      <c r="D872" s="10" t="s">
        <v>22</v>
      </c>
      <c r="E872" s="11" t="s">
        <v>637</v>
      </c>
      <c r="F872" s="12">
        <v>1</v>
      </c>
      <c r="G872" s="10" t="s">
        <v>124</v>
      </c>
      <c r="H872" s="13"/>
      <c r="I872" s="13"/>
      <c r="J872" s="10"/>
    </row>
    <row r="873" spans="1:10" ht="28.5" x14ac:dyDescent="0.2">
      <c r="A873" s="2" t="s">
        <v>618</v>
      </c>
      <c r="B873" s="9">
        <v>1</v>
      </c>
      <c r="C873" s="9">
        <v>2</v>
      </c>
      <c r="D873" s="10" t="s">
        <v>24</v>
      </c>
      <c r="E873" s="11" t="s">
        <v>638</v>
      </c>
      <c r="F873" s="12">
        <v>44</v>
      </c>
      <c r="G873" s="10" t="s">
        <v>109</v>
      </c>
      <c r="H873" s="13"/>
      <c r="I873" s="6"/>
      <c r="J873" s="10"/>
    </row>
    <row r="874" spans="1:10" ht="117" x14ac:dyDescent="0.2">
      <c r="A874" s="2" t="s">
        <v>618</v>
      </c>
      <c r="B874" s="9">
        <v>1</v>
      </c>
      <c r="C874" s="9">
        <v>2</v>
      </c>
      <c r="D874" s="10" t="s">
        <v>27</v>
      </c>
      <c r="E874" s="11" t="s">
        <v>639</v>
      </c>
      <c r="F874" s="12">
        <v>8</v>
      </c>
      <c r="G874" s="10" t="s">
        <v>83</v>
      </c>
      <c r="H874" s="13"/>
      <c r="I874" s="6"/>
      <c r="J874" s="10"/>
    </row>
    <row r="875" spans="1:10" ht="42.75" x14ac:dyDescent="0.2">
      <c r="A875" s="2" t="s">
        <v>618</v>
      </c>
      <c r="B875" s="9">
        <v>1</v>
      </c>
      <c r="C875" s="9">
        <v>2</v>
      </c>
      <c r="D875" s="10" t="s">
        <v>29</v>
      </c>
      <c r="E875" s="11" t="s">
        <v>640</v>
      </c>
      <c r="F875" s="12">
        <v>21</v>
      </c>
      <c r="G875" s="10" t="s">
        <v>83</v>
      </c>
      <c r="H875" s="13"/>
      <c r="I875" s="6"/>
      <c r="J875" s="10"/>
    </row>
    <row r="876" spans="1:10" ht="28.5" x14ac:dyDescent="0.2">
      <c r="A876" s="2" t="s">
        <v>618</v>
      </c>
      <c r="B876" s="9">
        <v>1</v>
      </c>
      <c r="C876" s="9">
        <v>2</v>
      </c>
      <c r="D876" s="10" t="s">
        <v>32</v>
      </c>
      <c r="E876" s="11" t="s">
        <v>641</v>
      </c>
      <c r="F876" s="12">
        <v>21</v>
      </c>
      <c r="G876" s="10" t="s">
        <v>83</v>
      </c>
      <c r="H876" s="13"/>
      <c r="I876" s="6"/>
      <c r="J876" s="10"/>
    </row>
    <row r="877" spans="1:10" ht="28.5" x14ac:dyDescent="0.2">
      <c r="A877" s="2" t="s">
        <v>618</v>
      </c>
      <c r="B877" s="9">
        <v>1</v>
      </c>
      <c r="C877" s="9">
        <v>2</v>
      </c>
      <c r="D877" s="10" t="s">
        <v>33</v>
      </c>
      <c r="E877" s="11" t="s">
        <v>642</v>
      </c>
      <c r="F877" s="12">
        <v>11</v>
      </c>
      <c r="G877" s="10" t="s">
        <v>83</v>
      </c>
      <c r="H877" s="13"/>
      <c r="I877" s="6"/>
      <c r="J877" s="10"/>
    </row>
    <row r="878" spans="1:10" ht="28.5" x14ac:dyDescent="0.2">
      <c r="A878" s="2" t="s">
        <v>618</v>
      </c>
      <c r="B878" s="9">
        <v>1</v>
      </c>
      <c r="C878" s="9">
        <v>2</v>
      </c>
      <c r="D878" s="10" t="s">
        <v>34</v>
      </c>
      <c r="E878" s="11" t="s">
        <v>643</v>
      </c>
      <c r="F878" s="12">
        <v>268</v>
      </c>
      <c r="G878" s="10" t="s">
        <v>83</v>
      </c>
      <c r="H878" s="13"/>
      <c r="I878" s="6"/>
      <c r="J878" s="10"/>
    </row>
    <row r="879" spans="1:10" ht="28.5" x14ac:dyDescent="0.2">
      <c r="A879" s="2" t="s">
        <v>618</v>
      </c>
      <c r="B879" s="9">
        <v>1</v>
      </c>
      <c r="C879" s="9">
        <v>2</v>
      </c>
      <c r="D879" s="10" t="s">
        <v>35</v>
      </c>
      <c r="E879" s="11" t="s">
        <v>644</v>
      </c>
      <c r="F879" s="12">
        <v>328</v>
      </c>
      <c r="G879" s="10" t="s">
        <v>83</v>
      </c>
      <c r="H879" s="13"/>
      <c r="I879" s="6"/>
      <c r="J879" s="10"/>
    </row>
    <row r="880" spans="1:10" ht="88.5" x14ac:dyDescent="0.2">
      <c r="A880" s="2" t="s">
        <v>618</v>
      </c>
      <c r="B880" s="9">
        <v>1</v>
      </c>
      <c r="C880" s="9">
        <v>2</v>
      </c>
      <c r="D880" s="10" t="s">
        <v>36</v>
      </c>
      <c r="E880" s="11" t="s">
        <v>645</v>
      </c>
      <c r="F880" s="12">
        <v>1639</v>
      </c>
      <c r="G880" s="10" t="s">
        <v>83</v>
      </c>
      <c r="H880" s="13"/>
      <c r="I880" s="6"/>
      <c r="J880" s="10"/>
    </row>
    <row r="881" spans="1:10" x14ac:dyDescent="0.2">
      <c r="A881" s="1" t="s">
        <v>646</v>
      </c>
      <c r="B881" s="1"/>
      <c r="C881" s="1"/>
      <c r="D881" s="1"/>
      <c r="E881" s="1"/>
      <c r="F881" s="1"/>
      <c r="G881" s="1"/>
      <c r="H881" s="1" t="s">
        <v>67</v>
      </c>
      <c r="I881" s="13">
        <f>I871+I872</f>
        <v>0</v>
      </c>
      <c r="J881" s="1"/>
    </row>
    <row r="884" spans="1:10" ht="15" x14ac:dyDescent="0.25">
      <c r="A884" s="21" t="s">
        <v>647</v>
      </c>
      <c r="B884" s="22"/>
      <c r="C884" s="22"/>
      <c r="D884" s="22"/>
      <c r="E884" s="22"/>
      <c r="F884" s="22"/>
      <c r="G884" s="22"/>
      <c r="H884" s="22"/>
      <c r="I884" s="22"/>
      <c r="J884" s="22"/>
    </row>
    <row r="885" spans="1:10" ht="15" x14ac:dyDescent="0.25">
      <c r="A885" s="21" t="s">
        <v>617</v>
      </c>
      <c r="B885" s="22"/>
      <c r="C885" s="22"/>
      <c r="D885" s="22"/>
      <c r="E885" s="22"/>
      <c r="F885" s="22"/>
      <c r="G885" s="22"/>
      <c r="H885" s="22"/>
      <c r="I885" s="22"/>
      <c r="J885" s="22"/>
    </row>
    <row r="887" spans="1:10" ht="15" x14ac:dyDescent="0.25">
      <c r="A887" s="3" t="s">
        <v>2</v>
      </c>
      <c r="B887" s="3" t="s">
        <v>3</v>
      </c>
      <c r="C887" s="3" t="s">
        <v>4</v>
      </c>
      <c r="D887" s="3" t="s">
        <v>5</v>
      </c>
      <c r="E887" s="3" t="s">
        <v>6</v>
      </c>
      <c r="F887" s="7" t="s">
        <v>7</v>
      </c>
      <c r="G887" s="3" t="s">
        <v>8</v>
      </c>
      <c r="H887" s="7" t="s">
        <v>9</v>
      </c>
      <c r="I887" s="7" t="s">
        <v>10</v>
      </c>
      <c r="J887" s="3" t="s">
        <v>11</v>
      </c>
    </row>
    <row r="888" spans="1:10" ht="119.25" x14ac:dyDescent="0.2">
      <c r="A888" s="2" t="s">
        <v>618</v>
      </c>
      <c r="B888" s="9">
        <v>1</v>
      </c>
      <c r="C888" s="9">
        <v>3</v>
      </c>
      <c r="D888" s="10" t="s">
        <v>13</v>
      </c>
      <c r="E888" s="11" t="s">
        <v>648</v>
      </c>
      <c r="F888" s="12">
        <v>1</v>
      </c>
      <c r="G888" s="10" t="s">
        <v>124</v>
      </c>
      <c r="H888" s="13"/>
      <c r="I888" s="6"/>
      <c r="J888" s="10"/>
    </row>
    <row r="889" spans="1:10" ht="73.5" x14ac:dyDescent="0.2">
      <c r="A889" s="2" t="s">
        <v>618</v>
      </c>
      <c r="B889" s="9">
        <v>1</v>
      </c>
      <c r="C889" s="9">
        <v>3</v>
      </c>
      <c r="D889" s="10" t="s">
        <v>16</v>
      </c>
      <c r="E889" s="11" t="s">
        <v>649</v>
      </c>
      <c r="F889" s="12">
        <v>1</v>
      </c>
      <c r="G889" s="10" t="s">
        <v>83</v>
      </c>
      <c r="H889" s="13"/>
      <c r="I889" s="6"/>
      <c r="J889" s="10"/>
    </row>
    <row r="890" spans="1:10" ht="28.5" x14ac:dyDescent="0.2">
      <c r="A890" s="2" t="s">
        <v>618</v>
      </c>
      <c r="B890" s="9">
        <v>1</v>
      </c>
      <c r="C890" s="9">
        <v>3</v>
      </c>
      <c r="D890" s="10" t="s">
        <v>18</v>
      </c>
      <c r="E890" s="11" t="s">
        <v>650</v>
      </c>
      <c r="F890" s="12">
        <v>1</v>
      </c>
      <c r="G890" s="10" t="s">
        <v>83</v>
      </c>
      <c r="H890" s="13"/>
      <c r="I890" s="6"/>
      <c r="J890" s="10"/>
    </row>
    <row r="891" spans="1:10" ht="73.5" x14ac:dyDescent="0.2">
      <c r="A891" s="2" t="s">
        <v>618</v>
      </c>
      <c r="B891" s="9">
        <v>1</v>
      </c>
      <c r="C891" s="9">
        <v>3</v>
      </c>
      <c r="D891" s="10" t="s">
        <v>20</v>
      </c>
      <c r="E891" s="11" t="s">
        <v>651</v>
      </c>
      <c r="F891" s="12">
        <v>8</v>
      </c>
      <c r="G891" s="10" t="s">
        <v>83</v>
      </c>
      <c r="H891" s="13"/>
      <c r="I891" s="6"/>
      <c r="J891" s="10"/>
    </row>
    <row r="892" spans="1:10" ht="134.25" x14ac:dyDescent="0.2">
      <c r="A892" s="2" t="s">
        <v>618</v>
      </c>
      <c r="B892" s="9">
        <v>1</v>
      </c>
      <c r="C892" s="9">
        <v>3</v>
      </c>
      <c r="D892" s="10" t="s">
        <v>22</v>
      </c>
      <c r="E892" s="11" t="s">
        <v>652</v>
      </c>
      <c r="F892" s="12">
        <v>1</v>
      </c>
      <c r="G892" s="10" t="s">
        <v>124</v>
      </c>
      <c r="H892" s="13"/>
      <c r="I892" s="13"/>
      <c r="J892" s="10"/>
    </row>
    <row r="893" spans="1:10" x14ac:dyDescent="0.2">
      <c r="A893" s="2" t="s">
        <v>618</v>
      </c>
      <c r="B893" s="9">
        <v>1</v>
      </c>
      <c r="C893" s="9">
        <v>3</v>
      </c>
      <c r="D893" s="10" t="s">
        <v>24</v>
      </c>
      <c r="E893" s="11" t="s">
        <v>653</v>
      </c>
      <c r="F893" s="12">
        <v>2</v>
      </c>
      <c r="G893" s="10" t="s">
        <v>623</v>
      </c>
      <c r="H893" s="13"/>
      <c r="I893" s="13"/>
      <c r="J893" s="10"/>
    </row>
    <row r="894" spans="1:10" x14ac:dyDescent="0.2">
      <c r="A894" s="2" t="s">
        <v>618</v>
      </c>
      <c r="B894" s="9">
        <v>1</v>
      </c>
      <c r="C894" s="9">
        <v>3</v>
      </c>
      <c r="D894" s="10" t="s">
        <v>27</v>
      </c>
      <c r="E894" s="11" t="s">
        <v>654</v>
      </c>
      <c r="F894" s="12">
        <v>1</v>
      </c>
      <c r="G894" s="10" t="s">
        <v>623</v>
      </c>
      <c r="H894" s="13"/>
      <c r="I894" s="13"/>
      <c r="J894" s="10"/>
    </row>
    <row r="895" spans="1:10" ht="44.25" x14ac:dyDescent="0.2">
      <c r="A895" s="2" t="s">
        <v>618</v>
      </c>
      <c r="B895" s="9">
        <v>1</v>
      </c>
      <c r="C895" s="9">
        <v>3</v>
      </c>
      <c r="D895" s="10" t="s">
        <v>29</v>
      </c>
      <c r="E895" s="11" t="s">
        <v>655</v>
      </c>
      <c r="F895" s="12">
        <v>24</v>
      </c>
      <c r="G895" s="10" t="s">
        <v>83</v>
      </c>
      <c r="H895" s="13"/>
      <c r="I895" s="6"/>
      <c r="J895" s="10"/>
    </row>
    <row r="896" spans="1:10" x14ac:dyDescent="0.2">
      <c r="A896" s="2" t="s">
        <v>618</v>
      </c>
      <c r="B896" s="9">
        <v>1</v>
      </c>
      <c r="C896" s="9">
        <v>3</v>
      </c>
      <c r="D896" s="10" t="s">
        <v>32</v>
      </c>
      <c r="E896" s="11" t="s">
        <v>656</v>
      </c>
      <c r="F896" s="12">
        <v>7.0000000000000009</v>
      </c>
      <c r="G896" s="10" t="s">
        <v>83</v>
      </c>
      <c r="H896" s="13"/>
      <c r="I896" s="6"/>
      <c r="J896" s="10"/>
    </row>
    <row r="897" spans="1:10" x14ac:dyDescent="0.2">
      <c r="A897" s="1" t="s">
        <v>657</v>
      </c>
      <c r="B897" s="1"/>
      <c r="C897" s="1"/>
      <c r="D897" s="1"/>
      <c r="E897" s="1"/>
      <c r="F897" s="1"/>
      <c r="G897" s="1"/>
      <c r="H897" s="1" t="s">
        <v>67</v>
      </c>
      <c r="I897" s="13">
        <f>I892+I893+I894</f>
        <v>0</v>
      </c>
      <c r="J897" s="1"/>
    </row>
    <row r="900" spans="1:10" ht="15" x14ac:dyDescent="0.25">
      <c r="A900" s="21" t="s">
        <v>658</v>
      </c>
      <c r="B900" s="22"/>
      <c r="C900" s="22"/>
      <c r="D900" s="22"/>
      <c r="E900" s="22"/>
      <c r="F900" s="22"/>
      <c r="G900" s="22"/>
      <c r="H900" s="22"/>
      <c r="I900" s="22"/>
      <c r="J900" s="22"/>
    </row>
    <row r="901" spans="1:10" ht="15" x14ac:dyDescent="0.25">
      <c r="A901" s="21" t="s">
        <v>617</v>
      </c>
      <c r="B901" s="22"/>
      <c r="C901" s="22"/>
      <c r="D901" s="22"/>
      <c r="E901" s="22"/>
      <c r="F901" s="22"/>
      <c r="G901" s="22"/>
      <c r="H901" s="22"/>
      <c r="I901" s="22"/>
      <c r="J901" s="22"/>
    </row>
    <row r="903" spans="1:10" ht="15" x14ac:dyDescent="0.25">
      <c r="A903" s="3" t="s">
        <v>2</v>
      </c>
      <c r="B903" s="3" t="s">
        <v>3</v>
      </c>
      <c r="C903" s="3" t="s">
        <v>4</v>
      </c>
      <c r="D903" s="3" t="s">
        <v>5</v>
      </c>
      <c r="E903" s="3" t="s">
        <v>6</v>
      </c>
      <c r="F903" s="7" t="s">
        <v>7</v>
      </c>
      <c r="G903" s="3" t="s">
        <v>8</v>
      </c>
      <c r="H903" s="7" t="s">
        <v>9</v>
      </c>
      <c r="I903" s="7" t="s">
        <v>10</v>
      </c>
      <c r="J903" s="3" t="s">
        <v>11</v>
      </c>
    </row>
    <row r="904" spans="1:10" ht="133.5" x14ac:dyDescent="0.2">
      <c r="A904" s="2" t="s">
        <v>618</v>
      </c>
      <c r="B904" s="9">
        <v>1</v>
      </c>
      <c r="C904" s="9">
        <v>4</v>
      </c>
      <c r="D904" s="10" t="s">
        <v>13</v>
      </c>
      <c r="E904" s="11" t="s">
        <v>659</v>
      </c>
      <c r="F904" s="12">
        <v>2</v>
      </c>
      <c r="G904" s="10" t="s">
        <v>660</v>
      </c>
      <c r="H904" s="13"/>
      <c r="I904" s="13"/>
      <c r="J904" s="10"/>
    </row>
    <row r="905" spans="1:10" ht="28.5" x14ac:dyDescent="0.2">
      <c r="A905" s="2" t="s">
        <v>618</v>
      </c>
      <c r="B905" s="9">
        <v>1</v>
      </c>
      <c r="C905" s="9">
        <v>4</v>
      </c>
      <c r="D905" s="10" t="s">
        <v>16</v>
      </c>
      <c r="E905" s="11" t="s">
        <v>631</v>
      </c>
      <c r="F905" s="12">
        <v>2</v>
      </c>
      <c r="G905" s="10" t="s">
        <v>124</v>
      </c>
      <c r="H905" s="13"/>
      <c r="I905" s="13"/>
      <c r="J905" s="10"/>
    </row>
    <row r="906" spans="1:10" ht="73.5" x14ac:dyDescent="0.2">
      <c r="A906" s="2" t="s">
        <v>618</v>
      </c>
      <c r="B906" s="9">
        <v>1</v>
      </c>
      <c r="C906" s="9">
        <v>4</v>
      </c>
      <c r="D906" s="10" t="s">
        <v>18</v>
      </c>
      <c r="E906" s="11" t="s">
        <v>661</v>
      </c>
      <c r="F906" s="12">
        <v>6</v>
      </c>
      <c r="G906" s="10" t="s">
        <v>83</v>
      </c>
      <c r="H906" s="13"/>
      <c r="I906" s="6"/>
      <c r="J906" s="10"/>
    </row>
    <row r="907" spans="1:10" ht="28.5" x14ac:dyDescent="0.2">
      <c r="A907" s="2" t="s">
        <v>618</v>
      </c>
      <c r="B907" s="9">
        <v>1</v>
      </c>
      <c r="C907" s="9">
        <v>4</v>
      </c>
      <c r="D907" s="10" t="s">
        <v>20</v>
      </c>
      <c r="E907" s="11" t="s">
        <v>662</v>
      </c>
      <c r="F907" s="12">
        <v>6</v>
      </c>
      <c r="G907" s="10" t="s">
        <v>83</v>
      </c>
      <c r="H907" s="13"/>
      <c r="I907" s="6"/>
      <c r="J907" s="10"/>
    </row>
    <row r="908" spans="1:10" ht="103.5" x14ac:dyDescent="0.2">
      <c r="A908" s="2" t="s">
        <v>618</v>
      </c>
      <c r="B908" s="9">
        <v>1</v>
      </c>
      <c r="C908" s="9">
        <v>4</v>
      </c>
      <c r="D908" s="10" t="s">
        <v>22</v>
      </c>
      <c r="E908" s="11" t="s">
        <v>663</v>
      </c>
      <c r="F908" s="12">
        <v>28.000000000000004</v>
      </c>
      <c r="G908" s="10" t="s">
        <v>83</v>
      </c>
      <c r="H908" s="13"/>
      <c r="I908" s="6"/>
      <c r="J908" s="10"/>
    </row>
    <row r="909" spans="1:10" ht="88.5" x14ac:dyDescent="0.2">
      <c r="A909" s="2" t="s">
        <v>618</v>
      </c>
      <c r="B909" s="9">
        <v>1</v>
      </c>
      <c r="C909" s="9">
        <v>4</v>
      </c>
      <c r="D909" s="10" t="s">
        <v>24</v>
      </c>
      <c r="E909" s="11" t="s">
        <v>664</v>
      </c>
      <c r="F909" s="12">
        <v>1647</v>
      </c>
      <c r="G909" s="10" t="s">
        <v>83</v>
      </c>
      <c r="H909" s="13"/>
      <c r="I909" s="13"/>
      <c r="J909" s="10"/>
    </row>
    <row r="910" spans="1:10" ht="28.5" x14ac:dyDescent="0.2">
      <c r="A910" s="2" t="s">
        <v>618</v>
      </c>
      <c r="B910" s="9">
        <v>1</v>
      </c>
      <c r="C910" s="9">
        <v>4</v>
      </c>
      <c r="D910" s="10" t="s">
        <v>27</v>
      </c>
      <c r="E910" s="11" t="s">
        <v>665</v>
      </c>
      <c r="F910" s="12">
        <v>28.000000000000004</v>
      </c>
      <c r="G910" s="10" t="s">
        <v>83</v>
      </c>
      <c r="H910" s="13"/>
      <c r="I910" s="13"/>
      <c r="J910" s="10"/>
    </row>
    <row r="911" spans="1:10" x14ac:dyDescent="0.2">
      <c r="A911" s="2" t="s">
        <v>618</v>
      </c>
      <c r="B911" s="9">
        <v>1</v>
      </c>
      <c r="C911" s="9">
        <v>4</v>
      </c>
      <c r="D911" s="10" t="s">
        <v>29</v>
      </c>
      <c r="E911" s="11" t="s">
        <v>666</v>
      </c>
      <c r="F911" s="12">
        <v>61</v>
      </c>
      <c r="G911" s="10" t="s">
        <v>83</v>
      </c>
      <c r="H911" s="13"/>
      <c r="I911" s="13"/>
      <c r="J911" s="10"/>
    </row>
    <row r="912" spans="1:10" ht="44.25" x14ac:dyDescent="0.2">
      <c r="A912" s="2" t="s">
        <v>618</v>
      </c>
      <c r="B912" s="9">
        <v>1</v>
      </c>
      <c r="C912" s="9">
        <v>4</v>
      </c>
      <c r="D912" s="10" t="s">
        <v>32</v>
      </c>
      <c r="E912" s="11" t="s">
        <v>667</v>
      </c>
      <c r="F912" s="12">
        <v>1</v>
      </c>
      <c r="G912" s="10" t="s">
        <v>127</v>
      </c>
      <c r="H912" s="13"/>
      <c r="I912" s="13"/>
      <c r="J912" s="10"/>
    </row>
    <row r="913" spans="1:10" x14ac:dyDescent="0.2">
      <c r="A913" s="2" t="s">
        <v>618</v>
      </c>
      <c r="B913" s="9">
        <v>1</v>
      </c>
      <c r="C913" s="9">
        <v>4</v>
      </c>
      <c r="D913" s="10" t="s">
        <v>33</v>
      </c>
      <c r="E913" s="11" t="s">
        <v>668</v>
      </c>
      <c r="F913" s="12">
        <v>1</v>
      </c>
      <c r="G913" s="10" t="s">
        <v>127</v>
      </c>
      <c r="H913" s="13"/>
      <c r="I913" s="6"/>
      <c r="J913" s="10"/>
    </row>
    <row r="914" spans="1:10" x14ac:dyDescent="0.2">
      <c r="A914" s="2" t="s">
        <v>618</v>
      </c>
      <c r="B914" s="9">
        <v>1</v>
      </c>
      <c r="C914" s="9">
        <v>4</v>
      </c>
      <c r="D914" s="10" t="s">
        <v>34</v>
      </c>
      <c r="E914" s="11" t="s">
        <v>669</v>
      </c>
      <c r="F914" s="12">
        <v>1</v>
      </c>
      <c r="G914" s="10" t="s">
        <v>127</v>
      </c>
      <c r="H914" s="13"/>
      <c r="I914" s="13"/>
      <c r="J914" s="10"/>
    </row>
    <row r="915" spans="1:10" x14ac:dyDescent="0.2">
      <c r="A915" s="2" t="s">
        <v>618</v>
      </c>
      <c r="B915" s="9">
        <v>1</v>
      </c>
      <c r="C915" s="9">
        <v>4</v>
      </c>
      <c r="D915" s="10" t="s">
        <v>35</v>
      </c>
      <c r="E915" s="11" t="s">
        <v>670</v>
      </c>
      <c r="F915" s="12">
        <v>1</v>
      </c>
      <c r="G915" s="10" t="s">
        <v>127</v>
      </c>
      <c r="H915" s="13"/>
      <c r="I915" s="13"/>
      <c r="J915" s="10"/>
    </row>
    <row r="916" spans="1:10" x14ac:dyDescent="0.2">
      <c r="A916" s="2" t="s">
        <v>618</v>
      </c>
      <c r="B916" s="9">
        <v>1</v>
      </c>
      <c r="C916" s="9">
        <v>4</v>
      </c>
      <c r="D916" s="10" t="s">
        <v>36</v>
      </c>
      <c r="E916" s="11" t="s">
        <v>671</v>
      </c>
      <c r="F916" s="12">
        <v>1</v>
      </c>
      <c r="G916" s="10" t="s">
        <v>127</v>
      </c>
      <c r="H916" s="13"/>
      <c r="I916" s="13"/>
      <c r="J916" s="10"/>
    </row>
    <row r="917" spans="1:10" x14ac:dyDescent="0.2">
      <c r="A917" s="2" t="s">
        <v>618</v>
      </c>
      <c r="B917" s="9">
        <v>1</v>
      </c>
      <c r="C917" s="9">
        <v>4</v>
      </c>
      <c r="D917" s="10" t="s">
        <v>40</v>
      </c>
      <c r="E917" s="11" t="s">
        <v>672</v>
      </c>
      <c r="F917" s="12">
        <v>1</v>
      </c>
      <c r="G917" s="10" t="s">
        <v>127</v>
      </c>
      <c r="H917" s="13"/>
      <c r="I917" s="13"/>
      <c r="J917" s="10"/>
    </row>
    <row r="918" spans="1:10" x14ac:dyDescent="0.2">
      <c r="A918" s="2" t="s">
        <v>618</v>
      </c>
      <c r="B918" s="9">
        <v>1</v>
      </c>
      <c r="C918" s="9">
        <v>4</v>
      </c>
      <c r="D918" s="10" t="s">
        <v>42</v>
      </c>
      <c r="E918" s="11" t="s">
        <v>673</v>
      </c>
      <c r="F918" s="12">
        <v>1</v>
      </c>
      <c r="G918" s="10" t="s">
        <v>127</v>
      </c>
      <c r="H918" s="13"/>
      <c r="I918" s="13"/>
      <c r="J918" s="10"/>
    </row>
    <row r="919" spans="1:10" x14ac:dyDescent="0.2">
      <c r="A919" s="2" t="s">
        <v>618</v>
      </c>
      <c r="B919" s="9">
        <v>1</v>
      </c>
      <c r="C919" s="9">
        <v>4</v>
      </c>
      <c r="D919" s="10" t="s">
        <v>44</v>
      </c>
      <c r="E919" s="11" t="s">
        <v>674</v>
      </c>
      <c r="F919" s="12">
        <v>350.00000000000006</v>
      </c>
      <c r="G919" s="10" t="s">
        <v>83</v>
      </c>
      <c r="H919" s="13"/>
      <c r="I919" s="13"/>
      <c r="J919" s="10"/>
    </row>
    <row r="920" spans="1:10" x14ac:dyDescent="0.2">
      <c r="A920" s="2" t="s">
        <v>618</v>
      </c>
      <c r="B920" s="9">
        <v>1</v>
      </c>
      <c r="C920" s="9">
        <v>4</v>
      </c>
      <c r="D920" s="10" t="s">
        <v>46</v>
      </c>
      <c r="E920" s="11" t="s">
        <v>675</v>
      </c>
      <c r="F920" s="12">
        <v>1</v>
      </c>
      <c r="G920" s="10" t="s">
        <v>127</v>
      </c>
      <c r="H920" s="13"/>
      <c r="I920" s="6"/>
      <c r="J920" s="10"/>
    </row>
    <row r="921" spans="1:10" x14ac:dyDescent="0.2">
      <c r="A921" s="2" t="s">
        <v>618</v>
      </c>
      <c r="B921" s="9">
        <v>1</v>
      </c>
      <c r="C921" s="9">
        <v>4</v>
      </c>
      <c r="D921" s="10" t="s">
        <v>47</v>
      </c>
      <c r="E921" s="11" t="s">
        <v>676</v>
      </c>
      <c r="F921" s="12">
        <v>1</v>
      </c>
      <c r="G921" s="10" t="s">
        <v>127</v>
      </c>
      <c r="H921" s="13"/>
      <c r="I921" s="6"/>
      <c r="J921" s="10"/>
    </row>
    <row r="922" spans="1:10" x14ac:dyDescent="0.2">
      <c r="A922" s="2" t="s">
        <v>618</v>
      </c>
      <c r="B922" s="9">
        <v>1</v>
      </c>
      <c r="C922" s="9">
        <v>4</v>
      </c>
      <c r="D922" s="10" t="s">
        <v>48</v>
      </c>
      <c r="E922" s="11" t="s">
        <v>677</v>
      </c>
      <c r="F922" s="12">
        <v>1</v>
      </c>
      <c r="G922" s="10" t="s">
        <v>127</v>
      </c>
      <c r="H922" s="13"/>
      <c r="I922" s="6"/>
      <c r="J922" s="10"/>
    </row>
    <row r="923" spans="1:10" x14ac:dyDescent="0.2">
      <c r="A923" s="1" t="s">
        <v>678</v>
      </c>
      <c r="B923" s="1"/>
      <c r="C923" s="1"/>
      <c r="D923" s="1"/>
      <c r="E923" s="1"/>
      <c r="F923" s="1"/>
      <c r="G923" s="1"/>
      <c r="H923" s="1" t="s">
        <v>67</v>
      </c>
      <c r="I923" s="13">
        <f>I904+I905+I909+I910+I911+I912+I914+I915+I916+I917+I918+I919</f>
        <v>0</v>
      </c>
      <c r="J923" s="1"/>
    </row>
    <row r="931" spans="1:10" ht="15" x14ac:dyDescent="0.25">
      <c r="A931" s="3" t="s">
        <v>89</v>
      </c>
      <c r="B931" s="14"/>
      <c r="C931" s="14"/>
      <c r="D931" s="14"/>
      <c r="E931" s="14"/>
      <c r="F931" s="14"/>
      <c r="G931" s="14"/>
      <c r="H931" s="14"/>
      <c r="I931" s="7" t="s">
        <v>90</v>
      </c>
    </row>
    <row r="932" spans="1:10" x14ac:dyDescent="0.2">
      <c r="A932" s="15" t="s">
        <v>679</v>
      </c>
      <c r="I932" s="16">
        <f>I861</f>
        <v>0</v>
      </c>
    </row>
    <row r="933" spans="1:10" x14ac:dyDescent="0.2">
      <c r="A933" s="15" t="s">
        <v>680</v>
      </c>
      <c r="I933" s="16">
        <f>I881</f>
        <v>0</v>
      </c>
    </row>
    <row r="934" spans="1:10" x14ac:dyDescent="0.2">
      <c r="A934" s="15" t="s">
        <v>681</v>
      </c>
      <c r="I934" s="16">
        <f>I897</f>
        <v>0</v>
      </c>
    </row>
    <row r="935" spans="1:10" x14ac:dyDescent="0.2">
      <c r="A935" s="15" t="s">
        <v>682</v>
      </c>
      <c r="I935" s="16">
        <f>I923</f>
        <v>0</v>
      </c>
    </row>
    <row r="936" spans="1:10" x14ac:dyDescent="0.2">
      <c r="A936" s="15"/>
      <c r="I936" s="15"/>
    </row>
    <row r="937" spans="1:10" x14ac:dyDescent="0.2">
      <c r="A937" s="17"/>
      <c r="B937" s="18"/>
      <c r="C937" s="18"/>
      <c r="D937" s="18"/>
      <c r="E937" s="18"/>
      <c r="F937" s="18"/>
      <c r="G937" s="18"/>
      <c r="H937" s="18"/>
      <c r="I937" s="17"/>
    </row>
    <row r="938" spans="1:10" x14ac:dyDescent="0.2">
      <c r="H938" s="4" t="s">
        <v>95</v>
      </c>
      <c r="I938" s="13">
        <f>SUM(I932:I937)</f>
        <v>0</v>
      </c>
    </row>
    <row r="942" spans="1:10" ht="15" x14ac:dyDescent="0.25">
      <c r="A942" s="21" t="s">
        <v>683</v>
      </c>
      <c r="B942" s="22"/>
      <c r="C942" s="22"/>
      <c r="D942" s="22"/>
      <c r="E942" s="22"/>
      <c r="F942" s="22"/>
      <c r="G942" s="22"/>
      <c r="H942" s="22"/>
      <c r="I942" s="22"/>
      <c r="J942" s="22"/>
    </row>
    <row r="943" spans="1:10" ht="15" x14ac:dyDescent="0.25">
      <c r="A943" s="21" t="s">
        <v>684</v>
      </c>
      <c r="B943" s="22"/>
      <c r="C943" s="22"/>
      <c r="D943" s="22"/>
      <c r="E943" s="22"/>
      <c r="F943" s="22"/>
      <c r="G943" s="22"/>
      <c r="H943" s="22"/>
      <c r="I943" s="22"/>
      <c r="J943" s="22"/>
    </row>
    <row r="945" spans="1:10" ht="15" x14ac:dyDescent="0.25">
      <c r="A945" s="3" t="s">
        <v>2</v>
      </c>
      <c r="B945" s="3" t="s">
        <v>3</v>
      </c>
      <c r="C945" s="3" t="s">
        <v>4</v>
      </c>
      <c r="D945" s="3" t="s">
        <v>5</v>
      </c>
      <c r="E945" s="3" t="s">
        <v>6</v>
      </c>
      <c r="F945" s="7" t="s">
        <v>7</v>
      </c>
      <c r="G945" s="3" t="s">
        <v>8</v>
      </c>
      <c r="H945" s="7" t="s">
        <v>9</v>
      </c>
      <c r="I945" s="7" t="s">
        <v>10</v>
      </c>
      <c r="J945" s="3" t="s">
        <v>11</v>
      </c>
    </row>
    <row r="946" spans="1:10" ht="104.25" x14ac:dyDescent="0.2">
      <c r="A946" s="2" t="s">
        <v>685</v>
      </c>
      <c r="B946" s="9">
        <v>1</v>
      </c>
      <c r="C946" s="9">
        <v>1</v>
      </c>
      <c r="D946" s="10" t="s">
        <v>13</v>
      </c>
      <c r="E946" s="11" t="s">
        <v>686</v>
      </c>
      <c r="F946" s="12">
        <v>1</v>
      </c>
      <c r="G946" s="10" t="s">
        <v>127</v>
      </c>
      <c r="H946" s="13"/>
      <c r="I946" s="6"/>
      <c r="J946" s="10"/>
    </row>
    <row r="947" spans="1:10" ht="42.75" x14ac:dyDescent="0.2">
      <c r="A947" s="2" t="s">
        <v>685</v>
      </c>
      <c r="B947" s="9">
        <v>1</v>
      </c>
      <c r="C947" s="9">
        <v>1</v>
      </c>
      <c r="D947" s="10" t="s">
        <v>16</v>
      </c>
      <c r="E947" s="11" t="s">
        <v>687</v>
      </c>
      <c r="F947" s="12">
        <v>1</v>
      </c>
      <c r="G947" s="10" t="s">
        <v>127</v>
      </c>
      <c r="H947" s="13"/>
      <c r="I947" s="13"/>
      <c r="J947" s="10"/>
    </row>
    <row r="948" spans="1:10" ht="42.75" x14ac:dyDescent="0.2">
      <c r="A948" s="2" t="s">
        <v>685</v>
      </c>
      <c r="B948" s="9">
        <v>1</v>
      </c>
      <c r="C948" s="9">
        <v>1</v>
      </c>
      <c r="D948" s="10" t="s">
        <v>18</v>
      </c>
      <c r="E948" s="11" t="s">
        <v>688</v>
      </c>
      <c r="F948" s="12">
        <v>1</v>
      </c>
      <c r="G948" s="10" t="s">
        <v>127</v>
      </c>
      <c r="H948" s="13"/>
      <c r="I948" s="13"/>
      <c r="J948" s="10"/>
    </row>
    <row r="949" spans="1:10" ht="28.5" x14ac:dyDescent="0.2">
      <c r="A949" s="2" t="s">
        <v>685</v>
      </c>
      <c r="B949" s="9">
        <v>1</v>
      </c>
      <c r="C949" s="9">
        <v>1</v>
      </c>
      <c r="D949" s="10" t="s">
        <v>20</v>
      </c>
      <c r="E949" s="11" t="s">
        <v>689</v>
      </c>
      <c r="F949" s="12">
        <v>1</v>
      </c>
      <c r="G949" s="10" t="s">
        <v>127</v>
      </c>
      <c r="H949" s="13"/>
      <c r="I949" s="6"/>
      <c r="J949" s="10"/>
    </row>
    <row r="950" spans="1:10" x14ac:dyDescent="0.2">
      <c r="A950" s="2" t="s">
        <v>685</v>
      </c>
      <c r="B950" s="9">
        <v>1</v>
      </c>
      <c r="C950" s="9">
        <v>1</v>
      </c>
      <c r="D950" s="10" t="s">
        <v>22</v>
      </c>
      <c r="E950" s="11" t="s">
        <v>690</v>
      </c>
      <c r="F950" s="12">
        <v>1</v>
      </c>
      <c r="G950" s="10" t="s">
        <v>127</v>
      </c>
      <c r="H950" s="13"/>
      <c r="I950" s="13"/>
      <c r="J950" s="10"/>
    </row>
    <row r="951" spans="1:10" x14ac:dyDescent="0.2">
      <c r="A951" s="2" t="s">
        <v>685</v>
      </c>
      <c r="B951" s="9">
        <v>1</v>
      </c>
      <c r="C951" s="9">
        <v>1</v>
      </c>
      <c r="D951" s="10" t="s">
        <v>24</v>
      </c>
      <c r="E951" s="11" t="s">
        <v>691</v>
      </c>
      <c r="F951" s="12">
        <v>1</v>
      </c>
      <c r="G951" s="10" t="s">
        <v>127</v>
      </c>
      <c r="H951" s="13"/>
      <c r="I951" s="13"/>
      <c r="J951" s="10"/>
    </row>
    <row r="952" spans="1:10" x14ac:dyDescent="0.2">
      <c r="A952" s="2" t="s">
        <v>685</v>
      </c>
      <c r="B952" s="9">
        <v>1</v>
      </c>
      <c r="C952" s="9">
        <v>1</v>
      </c>
      <c r="D952" s="10" t="s">
        <v>27</v>
      </c>
      <c r="E952" s="11" t="s">
        <v>692</v>
      </c>
      <c r="F952" s="12">
        <v>2</v>
      </c>
      <c r="G952" s="10" t="s">
        <v>258</v>
      </c>
      <c r="H952" s="13"/>
      <c r="I952" s="13"/>
      <c r="J952" s="10"/>
    </row>
    <row r="953" spans="1:10" x14ac:dyDescent="0.2">
      <c r="A953" s="2" t="s">
        <v>685</v>
      </c>
      <c r="B953" s="9">
        <v>1</v>
      </c>
      <c r="C953" s="9">
        <v>1</v>
      </c>
      <c r="D953" s="10" t="s">
        <v>29</v>
      </c>
      <c r="E953" s="11" t="s">
        <v>693</v>
      </c>
      <c r="F953" s="12">
        <v>2</v>
      </c>
      <c r="G953" s="10" t="s">
        <v>258</v>
      </c>
      <c r="H953" s="13"/>
      <c r="I953" s="13"/>
      <c r="J953" s="10"/>
    </row>
    <row r="954" spans="1:10" x14ac:dyDescent="0.2">
      <c r="A954" s="1" t="s">
        <v>694</v>
      </c>
      <c r="B954" s="1"/>
      <c r="C954" s="1"/>
      <c r="D954" s="1"/>
      <c r="E954" s="1"/>
      <c r="F954" s="1"/>
      <c r="G954" s="1"/>
      <c r="H954" s="1" t="s">
        <v>67</v>
      </c>
      <c r="I954" s="13">
        <f>I947+I948+I950+I951+I952+I953</f>
        <v>0</v>
      </c>
      <c r="J954" s="1"/>
    </row>
    <row r="957" spans="1:10" ht="15" x14ac:dyDescent="0.25">
      <c r="A957" s="21" t="s">
        <v>695</v>
      </c>
      <c r="B957" s="22"/>
      <c r="C957" s="22"/>
      <c r="D957" s="22"/>
      <c r="E957" s="22"/>
      <c r="F957" s="22"/>
      <c r="G957" s="22"/>
      <c r="H957" s="22"/>
      <c r="I957" s="22"/>
      <c r="J957" s="22"/>
    </row>
    <row r="958" spans="1:10" ht="15" x14ac:dyDescent="0.25">
      <c r="A958" s="21" t="s">
        <v>684</v>
      </c>
      <c r="B958" s="22"/>
      <c r="C958" s="22"/>
      <c r="D958" s="22"/>
      <c r="E958" s="22"/>
      <c r="F958" s="22"/>
      <c r="G958" s="22"/>
      <c r="H958" s="22"/>
      <c r="I958" s="22"/>
      <c r="J958" s="22"/>
    </row>
    <row r="960" spans="1:10" ht="15" x14ac:dyDescent="0.25">
      <c r="A960" s="3" t="s">
        <v>2</v>
      </c>
      <c r="B960" s="3" t="s">
        <v>3</v>
      </c>
      <c r="C960" s="3" t="s">
        <v>4</v>
      </c>
      <c r="D960" s="3" t="s">
        <v>5</v>
      </c>
      <c r="E960" s="3" t="s">
        <v>6</v>
      </c>
      <c r="F960" s="7" t="s">
        <v>7</v>
      </c>
      <c r="G960" s="3" t="s">
        <v>8</v>
      </c>
      <c r="H960" s="7" t="s">
        <v>9</v>
      </c>
      <c r="I960" s="7" t="s">
        <v>10</v>
      </c>
      <c r="J960" s="3" t="s">
        <v>11</v>
      </c>
    </row>
    <row r="961" spans="1:10" ht="119.25" x14ac:dyDescent="0.2">
      <c r="A961" s="2" t="s">
        <v>685</v>
      </c>
      <c r="B961" s="9">
        <v>1</v>
      </c>
      <c r="C961" s="9">
        <v>2</v>
      </c>
      <c r="D961" s="10" t="s">
        <v>13</v>
      </c>
      <c r="E961" s="11" t="s">
        <v>696</v>
      </c>
      <c r="F961" s="12">
        <v>130</v>
      </c>
      <c r="G961" s="10" t="s">
        <v>83</v>
      </c>
      <c r="H961" s="13"/>
      <c r="I961" s="13"/>
      <c r="J961" s="10"/>
    </row>
    <row r="962" spans="1:10" x14ac:dyDescent="0.2">
      <c r="A962" s="2" t="s">
        <v>685</v>
      </c>
      <c r="B962" s="9">
        <v>1</v>
      </c>
      <c r="C962" s="9">
        <v>2</v>
      </c>
      <c r="D962" s="10" t="s">
        <v>16</v>
      </c>
      <c r="E962" s="11" t="s">
        <v>697</v>
      </c>
      <c r="F962" s="12">
        <v>17</v>
      </c>
      <c r="G962" s="10" t="s">
        <v>83</v>
      </c>
      <c r="H962" s="13"/>
      <c r="I962" s="13"/>
      <c r="J962" s="10"/>
    </row>
    <row r="963" spans="1:10" x14ac:dyDescent="0.2">
      <c r="A963" s="2" t="s">
        <v>685</v>
      </c>
      <c r="B963" s="9">
        <v>1</v>
      </c>
      <c r="C963" s="9">
        <v>2</v>
      </c>
      <c r="D963" s="10" t="s">
        <v>18</v>
      </c>
      <c r="E963" s="11" t="s">
        <v>698</v>
      </c>
      <c r="F963" s="12">
        <v>31</v>
      </c>
      <c r="G963" s="10" t="s">
        <v>83</v>
      </c>
      <c r="H963" s="13"/>
      <c r="I963" s="13"/>
      <c r="J963" s="10"/>
    </row>
    <row r="964" spans="1:10" ht="44.25" x14ac:dyDescent="0.2">
      <c r="A964" s="2" t="s">
        <v>685</v>
      </c>
      <c r="B964" s="9">
        <v>1</v>
      </c>
      <c r="C964" s="9">
        <v>2</v>
      </c>
      <c r="D964" s="10" t="s">
        <v>20</v>
      </c>
      <c r="E964" s="11" t="s">
        <v>699</v>
      </c>
      <c r="F964" s="12">
        <v>94</v>
      </c>
      <c r="G964" s="10" t="s">
        <v>83</v>
      </c>
      <c r="H964" s="13"/>
      <c r="I964" s="13"/>
      <c r="J964" s="10"/>
    </row>
    <row r="965" spans="1:10" x14ac:dyDescent="0.2">
      <c r="A965" s="2" t="s">
        <v>685</v>
      </c>
      <c r="B965" s="9">
        <v>1</v>
      </c>
      <c r="C965" s="9">
        <v>2</v>
      </c>
      <c r="D965" s="10" t="s">
        <v>22</v>
      </c>
      <c r="E965" s="11" t="s">
        <v>700</v>
      </c>
      <c r="F965" s="12">
        <v>8</v>
      </c>
      <c r="G965" s="10" t="s">
        <v>83</v>
      </c>
      <c r="H965" s="13"/>
      <c r="I965" s="13"/>
      <c r="J965" s="10"/>
    </row>
    <row r="966" spans="1:10" x14ac:dyDescent="0.2">
      <c r="A966" s="2" t="s">
        <v>685</v>
      </c>
      <c r="B966" s="9">
        <v>1</v>
      </c>
      <c r="C966" s="9">
        <v>2</v>
      </c>
      <c r="D966" s="10" t="s">
        <v>24</v>
      </c>
      <c r="E966" s="11" t="s">
        <v>701</v>
      </c>
      <c r="F966" s="12">
        <v>87</v>
      </c>
      <c r="G966" s="10" t="s">
        <v>83</v>
      </c>
      <c r="H966" s="13"/>
      <c r="I966" s="13"/>
      <c r="J966" s="10"/>
    </row>
    <row r="967" spans="1:10" x14ac:dyDescent="0.2">
      <c r="A967" s="2" t="s">
        <v>685</v>
      </c>
      <c r="B967" s="9">
        <v>1</v>
      </c>
      <c r="C967" s="9">
        <v>2</v>
      </c>
      <c r="D967" s="10" t="s">
        <v>27</v>
      </c>
      <c r="E967" s="11" t="s">
        <v>702</v>
      </c>
      <c r="F967" s="12">
        <v>10</v>
      </c>
      <c r="G967" s="10" t="s">
        <v>258</v>
      </c>
      <c r="H967" s="13"/>
      <c r="I967" s="13"/>
      <c r="J967" s="10"/>
    </row>
    <row r="968" spans="1:10" x14ac:dyDescent="0.2">
      <c r="A968" s="2" t="s">
        <v>685</v>
      </c>
      <c r="B968" s="9">
        <v>1</v>
      </c>
      <c r="C968" s="9">
        <v>2</v>
      </c>
      <c r="D968" s="10" t="s">
        <v>29</v>
      </c>
      <c r="E968" s="11" t="s">
        <v>703</v>
      </c>
      <c r="F968" s="12">
        <v>1</v>
      </c>
      <c r="G968" s="10" t="s">
        <v>258</v>
      </c>
      <c r="H968" s="13"/>
      <c r="I968" s="6"/>
      <c r="J968" s="10"/>
    </row>
    <row r="969" spans="1:10" x14ac:dyDescent="0.2">
      <c r="A969" s="2" t="s">
        <v>685</v>
      </c>
      <c r="B969" s="9">
        <v>1</v>
      </c>
      <c r="C969" s="9">
        <v>2</v>
      </c>
      <c r="D969" s="10" t="s">
        <v>32</v>
      </c>
      <c r="E969" s="11" t="s">
        <v>704</v>
      </c>
      <c r="F969" s="12">
        <v>166</v>
      </c>
      <c r="G969" s="10" t="s">
        <v>83</v>
      </c>
      <c r="H969" s="13"/>
      <c r="I969" s="6"/>
      <c r="J969" s="10"/>
    </row>
    <row r="970" spans="1:10" ht="57" x14ac:dyDescent="0.2">
      <c r="A970" s="2" t="s">
        <v>685</v>
      </c>
      <c r="B970" s="9">
        <v>1</v>
      </c>
      <c r="C970" s="9">
        <v>2</v>
      </c>
      <c r="D970" s="10" t="s">
        <v>33</v>
      </c>
      <c r="E970" s="11" t="s">
        <v>705</v>
      </c>
      <c r="F970" s="12">
        <v>178</v>
      </c>
      <c r="G970" s="10" t="s">
        <v>83</v>
      </c>
      <c r="H970" s="13"/>
      <c r="I970" s="13"/>
      <c r="J970" s="10"/>
    </row>
    <row r="971" spans="1:10" x14ac:dyDescent="0.2">
      <c r="A971" s="1" t="s">
        <v>706</v>
      </c>
      <c r="B971" s="1"/>
      <c r="C971" s="1"/>
      <c r="D971" s="1"/>
      <c r="E971" s="1"/>
      <c r="F971" s="1"/>
      <c r="G971" s="1"/>
      <c r="H971" s="1" t="s">
        <v>67</v>
      </c>
      <c r="I971" s="13">
        <f>I961+I962+I963+I964+I965+I966+I967+I970</f>
        <v>0</v>
      </c>
      <c r="J971" s="1"/>
    </row>
    <row r="974" spans="1:10" ht="15" x14ac:dyDescent="0.25">
      <c r="A974" s="21" t="s">
        <v>707</v>
      </c>
      <c r="B974" s="22"/>
      <c r="C974" s="22"/>
      <c r="D974" s="22"/>
      <c r="E974" s="22"/>
      <c r="F974" s="22"/>
      <c r="G974" s="22"/>
      <c r="H974" s="22"/>
      <c r="I974" s="22"/>
      <c r="J974" s="22"/>
    </row>
    <row r="975" spans="1:10" ht="15" x14ac:dyDescent="0.25">
      <c r="A975" s="21" t="s">
        <v>684</v>
      </c>
      <c r="B975" s="22"/>
      <c r="C975" s="22"/>
      <c r="D975" s="22"/>
      <c r="E975" s="22"/>
      <c r="F975" s="22"/>
      <c r="G975" s="22"/>
      <c r="H975" s="22"/>
      <c r="I975" s="22"/>
      <c r="J975" s="22"/>
    </row>
    <row r="977" spans="1:10" ht="15" x14ac:dyDescent="0.25">
      <c r="A977" s="3" t="s">
        <v>2</v>
      </c>
      <c r="B977" s="3" t="s">
        <v>3</v>
      </c>
      <c r="C977" s="3" t="s">
        <v>4</v>
      </c>
      <c r="D977" s="3" t="s">
        <v>5</v>
      </c>
      <c r="E977" s="3" t="s">
        <v>6</v>
      </c>
      <c r="F977" s="7" t="s">
        <v>7</v>
      </c>
      <c r="G977" s="3" t="s">
        <v>8</v>
      </c>
      <c r="H977" s="7" t="s">
        <v>9</v>
      </c>
      <c r="I977" s="7" t="s">
        <v>10</v>
      </c>
      <c r="J977" s="3" t="s">
        <v>11</v>
      </c>
    </row>
    <row r="978" spans="1:10" ht="89.25" x14ac:dyDescent="0.2">
      <c r="A978" s="2" t="s">
        <v>685</v>
      </c>
      <c r="B978" s="9">
        <v>1</v>
      </c>
      <c r="C978" s="9">
        <v>3</v>
      </c>
      <c r="D978" s="10" t="s">
        <v>13</v>
      </c>
      <c r="E978" s="11" t="s">
        <v>708</v>
      </c>
      <c r="F978" s="12">
        <v>151</v>
      </c>
      <c r="G978" s="10" t="s">
        <v>83</v>
      </c>
      <c r="H978" s="13"/>
      <c r="I978" s="13"/>
      <c r="J978" s="10"/>
    </row>
    <row r="979" spans="1:10" ht="44.25" x14ac:dyDescent="0.2">
      <c r="A979" s="2" t="s">
        <v>685</v>
      </c>
      <c r="B979" s="9">
        <v>1</v>
      </c>
      <c r="C979" s="9">
        <v>3</v>
      </c>
      <c r="D979" s="10" t="s">
        <v>16</v>
      </c>
      <c r="E979" s="11" t="s">
        <v>709</v>
      </c>
      <c r="F979" s="12">
        <v>104</v>
      </c>
      <c r="G979" s="10" t="s">
        <v>83</v>
      </c>
      <c r="H979" s="13"/>
      <c r="I979" s="13"/>
      <c r="J979" s="10"/>
    </row>
    <row r="980" spans="1:10" x14ac:dyDescent="0.2">
      <c r="A980" s="2" t="s">
        <v>685</v>
      </c>
      <c r="B980" s="9">
        <v>1</v>
      </c>
      <c r="C980" s="9">
        <v>3</v>
      </c>
      <c r="D980" s="10" t="s">
        <v>18</v>
      </c>
      <c r="E980" s="11" t="s">
        <v>700</v>
      </c>
      <c r="F980" s="12">
        <v>147</v>
      </c>
      <c r="G980" s="10" t="s">
        <v>83</v>
      </c>
      <c r="H980" s="13"/>
      <c r="I980" s="13"/>
      <c r="J980" s="10"/>
    </row>
    <row r="981" spans="1:10" x14ac:dyDescent="0.2">
      <c r="A981" s="2" t="s">
        <v>685</v>
      </c>
      <c r="B981" s="9">
        <v>1</v>
      </c>
      <c r="C981" s="9">
        <v>3</v>
      </c>
      <c r="D981" s="10" t="s">
        <v>20</v>
      </c>
      <c r="E981" s="11" t="s">
        <v>710</v>
      </c>
      <c r="F981" s="12">
        <v>5</v>
      </c>
      <c r="G981" s="10" t="s">
        <v>83</v>
      </c>
      <c r="H981" s="13"/>
      <c r="I981" s="13"/>
      <c r="J981" s="10"/>
    </row>
    <row r="982" spans="1:10" x14ac:dyDescent="0.2">
      <c r="A982" s="2" t="s">
        <v>685</v>
      </c>
      <c r="B982" s="9">
        <v>1</v>
      </c>
      <c r="C982" s="9">
        <v>3</v>
      </c>
      <c r="D982" s="10" t="s">
        <v>22</v>
      </c>
      <c r="E982" s="11" t="s">
        <v>701</v>
      </c>
      <c r="F982" s="12">
        <v>28.000000000000004</v>
      </c>
      <c r="G982" s="10" t="s">
        <v>83</v>
      </c>
      <c r="H982" s="13"/>
      <c r="I982" s="13"/>
      <c r="J982" s="10"/>
    </row>
    <row r="983" spans="1:10" x14ac:dyDescent="0.2">
      <c r="A983" s="2" t="s">
        <v>685</v>
      </c>
      <c r="B983" s="9">
        <v>1</v>
      </c>
      <c r="C983" s="9">
        <v>3</v>
      </c>
      <c r="D983" s="10" t="s">
        <v>24</v>
      </c>
      <c r="E983" s="11" t="s">
        <v>702</v>
      </c>
      <c r="F983" s="12">
        <v>19</v>
      </c>
      <c r="G983" s="10" t="s">
        <v>258</v>
      </c>
      <c r="H983" s="13"/>
      <c r="I983" s="6"/>
      <c r="J983" s="10"/>
    </row>
    <row r="984" spans="1:10" x14ac:dyDescent="0.2">
      <c r="A984" s="2" t="s">
        <v>685</v>
      </c>
      <c r="B984" s="9">
        <v>1</v>
      </c>
      <c r="C984" s="9">
        <v>3</v>
      </c>
      <c r="D984" s="10" t="s">
        <v>27</v>
      </c>
      <c r="E984" s="11" t="s">
        <v>711</v>
      </c>
      <c r="F984" s="12">
        <v>3</v>
      </c>
      <c r="G984" s="10" t="s">
        <v>258</v>
      </c>
      <c r="H984" s="13"/>
      <c r="I984" s="6"/>
      <c r="J984" s="10"/>
    </row>
    <row r="985" spans="1:10" x14ac:dyDescent="0.2">
      <c r="A985" s="2" t="s">
        <v>685</v>
      </c>
      <c r="B985" s="9">
        <v>1</v>
      </c>
      <c r="C985" s="9">
        <v>3</v>
      </c>
      <c r="D985" s="10" t="s">
        <v>29</v>
      </c>
      <c r="E985" s="11" t="s">
        <v>703</v>
      </c>
      <c r="F985" s="12">
        <v>6</v>
      </c>
      <c r="G985" s="10" t="s">
        <v>258</v>
      </c>
      <c r="H985" s="13"/>
      <c r="I985" s="6"/>
      <c r="J985" s="10"/>
    </row>
    <row r="986" spans="1:10" x14ac:dyDescent="0.2">
      <c r="A986" s="2" t="s">
        <v>685</v>
      </c>
      <c r="B986" s="9">
        <v>1</v>
      </c>
      <c r="C986" s="9">
        <v>3</v>
      </c>
      <c r="D986" s="10" t="s">
        <v>32</v>
      </c>
      <c r="E986" s="11" t="s">
        <v>704</v>
      </c>
      <c r="F986" s="12">
        <v>114.99999999999999</v>
      </c>
      <c r="G986" s="10" t="s">
        <v>83</v>
      </c>
      <c r="H986" s="13"/>
      <c r="I986" s="6"/>
      <c r="J986" s="10"/>
    </row>
    <row r="987" spans="1:10" ht="57" x14ac:dyDescent="0.2">
      <c r="A987" s="2" t="s">
        <v>685</v>
      </c>
      <c r="B987" s="9">
        <v>1</v>
      </c>
      <c r="C987" s="9">
        <v>3</v>
      </c>
      <c r="D987" s="10" t="s">
        <v>33</v>
      </c>
      <c r="E987" s="11" t="s">
        <v>712</v>
      </c>
      <c r="F987" s="12">
        <v>91</v>
      </c>
      <c r="G987" s="10" t="s">
        <v>83</v>
      </c>
      <c r="H987" s="13"/>
      <c r="I987" s="13"/>
      <c r="J987" s="10"/>
    </row>
    <row r="988" spans="1:10" ht="57" x14ac:dyDescent="0.2">
      <c r="A988" s="2" t="s">
        <v>685</v>
      </c>
      <c r="B988" s="9">
        <v>1</v>
      </c>
      <c r="C988" s="9">
        <v>3</v>
      </c>
      <c r="D988" s="10" t="s">
        <v>34</v>
      </c>
      <c r="E988" s="11" t="s">
        <v>713</v>
      </c>
      <c r="F988" s="12">
        <v>4</v>
      </c>
      <c r="G988" s="10" t="s">
        <v>83</v>
      </c>
      <c r="H988" s="13"/>
      <c r="I988" s="13"/>
      <c r="J988" s="10"/>
    </row>
    <row r="989" spans="1:10" ht="42.75" x14ac:dyDescent="0.2">
      <c r="A989" s="2" t="s">
        <v>685</v>
      </c>
      <c r="B989" s="9">
        <v>1</v>
      </c>
      <c r="C989" s="9">
        <v>3</v>
      </c>
      <c r="D989" s="10" t="s">
        <v>35</v>
      </c>
      <c r="E989" s="11" t="s">
        <v>714</v>
      </c>
      <c r="F989" s="12">
        <v>24</v>
      </c>
      <c r="G989" s="10" t="s">
        <v>83</v>
      </c>
      <c r="H989" s="13"/>
      <c r="I989" s="13"/>
      <c r="J989" s="10"/>
    </row>
    <row r="990" spans="1:10" ht="57" x14ac:dyDescent="0.2">
      <c r="A990" s="2" t="s">
        <v>685</v>
      </c>
      <c r="B990" s="9">
        <v>1</v>
      </c>
      <c r="C990" s="9">
        <v>3</v>
      </c>
      <c r="D990" s="10" t="s">
        <v>36</v>
      </c>
      <c r="E990" s="11" t="s">
        <v>715</v>
      </c>
      <c r="F990" s="12">
        <v>32</v>
      </c>
      <c r="G990" s="10" t="s">
        <v>83</v>
      </c>
      <c r="H990" s="13"/>
      <c r="I990" s="13"/>
      <c r="J990" s="10"/>
    </row>
    <row r="991" spans="1:10" x14ac:dyDescent="0.2">
      <c r="A991" s="1" t="s">
        <v>716</v>
      </c>
      <c r="B991" s="1"/>
      <c r="C991" s="1"/>
      <c r="D991" s="1"/>
      <c r="E991" s="1"/>
      <c r="F991" s="1"/>
      <c r="G991" s="1"/>
      <c r="H991" s="1" t="s">
        <v>67</v>
      </c>
      <c r="I991" s="13">
        <f>I978+I979+I980+I981+I982+I987+I988+I989+I990</f>
        <v>0</v>
      </c>
      <c r="J991" s="1"/>
    </row>
    <row r="994" spans="1:10" ht="15" x14ac:dyDescent="0.25">
      <c r="A994" s="21" t="s">
        <v>717</v>
      </c>
      <c r="B994" s="22"/>
      <c r="C994" s="22"/>
      <c r="D994" s="22"/>
      <c r="E994" s="22"/>
      <c r="F994" s="22"/>
      <c r="G994" s="22"/>
      <c r="H994" s="22"/>
      <c r="I994" s="22"/>
      <c r="J994" s="22"/>
    </row>
    <row r="995" spans="1:10" ht="15" x14ac:dyDescent="0.25">
      <c r="A995" s="21" t="s">
        <v>684</v>
      </c>
      <c r="B995" s="22"/>
      <c r="C995" s="22"/>
      <c r="D995" s="22"/>
      <c r="E995" s="22"/>
      <c r="F995" s="22"/>
      <c r="G995" s="22"/>
      <c r="H995" s="22"/>
      <c r="I995" s="22"/>
      <c r="J995" s="22"/>
    </row>
    <row r="997" spans="1:10" ht="15" x14ac:dyDescent="0.25">
      <c r="A997" s="3" t="s">
        <v>2</v>
      </c>
      <c r="B997" s="3" t="s">
        <v>3</v>
      </c>
      <c r="C997" s="3" t="s">
        <v>4</v>
      </c>
      <c r="D997" s="3" t="s">
        <v>5</v>
      </c>
      <c r="E997" s="3" t="s">
        <v>6</v>
      </c>
      <c r="F997" s="7" t="s">
        <v>7</v>
      </c>
      <c r="G997" s="3" t="s">
        <v>8</v>
      </c>
      <c r="H997" s="7" t="s">
        <v>9</v>
      </c>
      <c r="I997" s="7" t="s">
        <v>10</v>
      </c>
      <c r="J997" s="3" t="s">
        <v>11</v>
      </c>
    </row>
    <row r="998" spans="1:10" ht="74.25" x14ac:dyDescent="0.2">
      <c r="A998" s="2" t="s">
        <v>685</v>
      </c>
      <c r="B998" s="9">
        <v>1</v>
      </c>
      <c r="C998" s="9">
        <v>4</v>
      </c>
      <c r="D998" s="10" t="s">
        <v>13</v>
      </c>
      <c r="E998" s="11" t="s">
        <v>718</v>
      </c>
      <c r="F998" s="12">
        <v>199.00000000000003</v>
      </c>
      <c r="G998" s="10" t="s">
        <v>83</v>
      </c>
      <c r="H998" s="13"/>
      <c r="I998" s="13"/>
      <c r="J998" s="10"/>
    </row>
    <row r="999" spans="1:10" x14ac:dyDescent="0.2">
      <c r="A999" s="2" t="s">
        <v>685</v>
      </c>
      <c r="B999" s="9">
        <v>1</v>
      </c>
      <c r="C999" s="9">
        <v>4</v>
      </c>
      <c r="D999" s="10" t="s">
        <v>16</v>
      </c>
      <c r="E999" s="11" t="s">
        <v>719</v>
      </c>
      <c r="F999" s="12">
        <v>10</v>
      </c>
      <c r="G999" s="10" t="s">
        <v>83</v>
      </c>
      <c r="H999" s="13"/>
      <c r="I999" s="13"/>
      <c r="J999" s="10"/>
    </row>
    <row r="1000" spans="1:10" ht="44.25" x14ac:dyDescent="0.2">
      <c r="A1000" s="2" t="s">
        <v>685</v>
      </c>
      <c r="B1000" s="9">
        <v>1</v>
      </c>
      <c r="C1000" s="9">
        <v>4</v>
      </c>
      <c r="D1000" s="10" t="s">
        <v>18</v>
      </c>
      <c r="E1000" s="11" t="s">
        <v>699</v>
      </c>
      <c r="F1000" s="12">
        <v>160</v>
      </c>
      <c r="G1000" s="10" t="s">
        <v>83</v>
      </c>
      <c r="H1000" s="13"/>
      <c r="I1000" s="13"/>
      <c r="J1000" s="10"/>
    </row>
    <row r="1001" spans="1:10" x14ac:dyDescent="0.2">
      <c r="A1001" s="2" t="s">
        <v>685</v>
      </c>
      <c r="B1001" s="9">
        <v>1</v>
      </c>
      <c r="C1001" s="9">
        <v>4</v>
      </c>
      <c r="D1001" s="10" t="s">
        <v>20</v>
      </c>
      <c r="E1001" s="11" t="s">
        <v>700</v>
      </c>
      <c r="F1001" s="12">
        <v>222.00000000000003</v>
      </c>
      <c r="G1001" s="10" t="s">
        <v>83</v>
      </c>
      <c r="H1001" s="13"/>
      <c r="I1001" s="13"/>
      <c r="J1001" s="10"/>
    </row>
    <row r="1002" spans="1:10" x14ac:dyDescent="0.2">
      <c r="A1002" s="2" t="s">
        <v>685</v>
      </c>
      <c r="B1002" s="9">
        <v>1</v>
      </c>
      <c r="C1002" s="9">
        <v>4</v>
      </c>
      <c r="D1002" s="10" t="s">
        <v>22</v>
      </c>
      <c r="E1002" s="11" t="s">
        <v>701</v>
      </c>
      <c r="F1002" s="12">
        <v>49</v>
      </c>
      <c r="G1002" s="10" t="s">
        <v>83</v>
      </c>
      <c r="H1002" s="13"/>
      <c r="I1002" s="13"/>
      <c r="J1002" s="10"/>
    </row>
    <row r="1003" spans="1:10" x14ac:dyDescent="0.2">
      <c r="A1003" s="2" t="s">
        <v>685</v>
      </c>
      <c r="B1003" s="9">
        <v>1</v>
      </c>
      <c r="C1003" s="9">
        <v>4</v>
      </c>
      <c r="D1003" s="10" t="s">
        <v>24</v>
      </c>
      <c r="E1003" s="11" t="s">
        <v>702</v>
      </c>
      <c r="F1003" s="12">
        <v>35</v>
      </c>
      <c r="G1003" s="10" t="s">
        <v>258</v>
      </c>
      <c r="H1003" s="13"/>
      <c r="I1003" s="6"/>
      <c r="J1003" s="10"/>
    </row>
    <row r="1004" spans="1:10" x14ac:dyDescent="0.2">
      <c r="A1004" s="2" t="s">
        <v>685</v>
      </c>
      <c r="B1004" s="9">
        <v>1</v>
      </c>
      <c r="C1004" s="9">
        <v>4</v>
      </c>
      <c r="D1004" s="10" t="s">
        <v>27</v>
      </c>
      <c r="E1004" s="11" t="s">
        <v>703</v>
      </c>
      <c r="F1004" s="12">
        <v>15</v>
      </c>
      <c r="G1004" s="10" t="s">
        <v>258</v>
      </c>
      <c r="H1004" s="13"/>
      <c r="I1004" s="6"/>
      <c r="J1004" s="10"/>
    </row>
    <row r="1005" spans="1:10" x14ac:dyDescent="0.2">
      <c r="A1005" s="2" t="s">
        <v>685</v>
      </c>
      <c r="B1005" s="9">
        <v>1</v>
      </c>
      <c r="C1005" s="9">
        <v>4</v>
      </c>
      <c r="D1005" s="10" t="s">
        <v>29</v>
      </c>
      <c r="E1005" s="11" t="s">
        <v>704</v>
      </c>
      <c r="F1005" s="12">
        <v>144</v>
      </c>
      <c r="G1005" s="10" t="s">
        <v>83</v>
      </c>
      <c r="H1005" s="13"/>
      <c r="I1005" s="6"/>
      <c r="J1005" s="10"/>
    </row>
    <row r="1006" spans="1:10" ht="57" x14ac:dyDescent="0.2">
      <c r="A1006" s="2" t="s">
        <v>685</v>
      </c>
      <c r="B1006" s="9">
        <v>1</v>
      </c>
      <c r="C1006" s="9">
        <v>4</v>
      </c>
      <c r="D1006" s="10" t="s">
        <v>32</v>
      </c>
      <c r="E1006" s="11" t="s">
        <v>712</v>
      </c>
      <c r="F1006" s="12">
        <v>119</v>
      </c>
      <c r="G1006" s="10" t="s">
        <v>83</v>
      </c>
      <c r="H1006" s="13"/>
      <c r="I1006" s="13"/>
      <c r="J1006" s="10"/>
    </row>
    <row r="1007" spans="1:10" ht="57" x14ac:dyDescent="0.2">
      <c r="A1007" s="2" t="s">
        <v>685</v>
      </c>
      <c r="B1007" s="9">
        <v>1</v>
      </c>
      <c r="C1007" s="9">
        <v>4</v>
      </c>
      <c r="D1007" s="10" t="s">
        <v>33</v>
      </c>
      <c r="E1007" s="11" t="s">
        <v>713</v>
      </c>
      <c r="F1007" s="12">
        <v>12</v>
      </c>
      <c r="G1007" s="10" t="s">
        <v>83</v>
      </c>
      <c r="H1007" s="13"/>
      <c r="I1007" s="13"/>
      <c r="J1007" s="10"/>
    </row>
    <row r="1008" spans="1:10" ht="42.75" x14ac:dyDescent="0.2">
      <c r="A1008" s="2" t="s">
        <v>685</v>
      </c>
      <c r="B1008" s="9">
        <v>1</v>
      </c>
      <c r="C1008" s="9">
        <v>4</v>
      </c>
      <c r="D1008" s="10" t="s">
        <v>34</v>
      </c>
      <c r="E1008" s="11" t="s">
        <v>714</v>
      </c>
      <c r="F1008" s="12">
        <v>21</v>
      </c>
      <c r="G1008" s="10" t="s">
        <v>83</v>
      </c>
      <c r="H1008" s="13"/>
      <c r="I1008" s="13"/>
      <c r="J1008" s="10"/>
    </row>
    <row r="1009" spans="1:10" ht="57" x14ac:dyDescent="0.2">
      <c r="A1009" s="2" t="s">
        <v>685</v>
      </c>
      <c r="B1009" s="9">
        <v>1</v>
      </c>
      <c r="C1009" s="9">
        <v>4</v>
      </c>
      <c r="D1009" s="10" t="s">
        <v>35</v>
      </c>
      <c r="E1009" s="11" t="s">
        <v>715</v>
      </c>
      <c r="F1009" s="12">
        <v>47</v>
      </c>
      <c r="G1009" s="10" t="s">
        <v>83</v>
      </c>
      <c r="H1009" s="13"/>
      <c r="I1009" s="13"/>
      <c r="J1009" s="10"/>
    </row>
    <row r="1010" spans="1:10" ht="42.75" x14ac:dyDescent="0.2">
      <c r="A1010" s="2" t="s">
        <v>685</v>
      </c>
      <c r="B1010" s="9">
        <v>1</v>
      </c>
      <c r="C1010" s="9">
        <v>4</v>
      </c>
      <c r="D1010" s="10" t="s">
        <v>36</v>
      </c>
      <c r="E1010" s="11" t="s">
        <v>720</v>
      </c>
      <c r="F1010" s="12">
        <v>10</v>
      </c>
      <c r="G1010" s="10" t="s">
        <v>83</v>
      </c>
      <c r="H1010" s="13"/>
      <c r="I1010" s="13"/>
      <c r="J1010" s="10"/>
    </row>
    <row r="1011" spans="1:10" x14ac:dyDescent="0.2">
      <c r="A1011" s="1" t="s">
        <v>721</v>
      </c>
      <c r="B1011" s="1"/>
      <c r="C1011" s="1"/>
      <c r="D1011" s="1"/>
      <c r="E1011" s="1"/>
      <c r="F1011" s="1"/>
      <c r="G1011" s="1"/>
      <c r="H1011" s="1" t="s">
        <v>67</v>
      </c>
      <c r="I1011" s="13">
        <f>I998+I999+I1000+I1001+I1002+I1006+I1007+I1008+I1009+I1010</f>
        <v>0</v>
      </c>
      <c r="J1011" s="1"/>
    </row>
    <row r="1014" spans="1:10" ht="15" x14ac:dyDescent="0.25">
      <c r="A1014" s="21" t="s">
        <v>722</v>
      </c>
      <c r="B1014" s="22"/>
      <c r="C1014" s="22"/>
      <c r="D1014" s="22"/>
      <c r="E1014" s="22"/>
      <c r="F1014" s="22"/>
      <c r="G1014" s="22"/>
      <c r="H1014" s="22"/>
      <c r="I1014" s="22"/>
      <c r="J1014" s="22"/>
    </row>
    <row r="1015" spans="1:10" ht="15" x14ac:dyDescent="0.25">
      <c r="A1015" s="21" t="s">
        <v>684</v>
      </c>
      <c r="B1015" s="22"/>
      <c r="C1015" s="22"/>
      <c r="D1015" s="22"/>
      <c r="E1015" s="22"/>
      <c r="F1015" s="22"/>
      <c r="G1015" s="22"/>
      <c r="H1015" s="22"/>
      <c r="I1015" s="22"/>
      <c r="J1015" s="22"/>
    </row>
    <row r="1017" spans="1:10" ht="15" x14ac:dyDescent="0.25">
      <c r="A1017" s="3" t="s">
        <v>2</v>
      </c>
      <c r="B1017" s="3" t="s">
        <v>3</v>
      </c>
      <c r="C1017" s="3" t="s">
        <v>4</v>
      </c>
      <c r="D1017" s="3" t="s">
        <v>5</v>
      </c>
      <c r="E1017" s="3" t="s">
        <v>6</v>
      </c>
      <c r="F1017" s="7" t="s">
        <v>7</v>
      </c>
      <c r="G1017" s="3" t="s">
        <v>8</v>
      </c>
      <c r="H1017" s="7" t="s">
        <v>9</v>
      </c>
      <c r="I1017" s="7" t="s">
        <v>10</v>
      </c>
      <c r="J1017" s="3" t="s">
        <v>11</v>
      </c>
    </row>
    <row r="1018" spans="1:10" ht="104.25" x14ac:dyDescent="0.2">
      <c r="A1018" s="2" t="s">
        <v>685</v>
      </c>
      <c r="B1018" s="9">
        <v>1</v>
      </c>
      <c r="C1018" s="9">
        <v>5</v>
      </c>
      <c r="D1018" s="10" t="s">
        <v>13</v>
      </c>
      <c r="E1018" s="11" t="s">
        <v>723</v>
      </c>
      <c r="F1018" s="12">
        <v>11</v>
      </c>
      <c r="G1018" s="10" t="s">
        <v>83</v>
      </c>
      <c r="H1018" s="13"/>
      <c r="I1018" s="13"/>
      <c r="J1018" s="10"/>
    </row>
    <row r="1019" spans="1:10" ht="44.25" x14ac:dyDescent="0.2">
      <c r="A1019" s="2" t="s">
        <v>685</v>
      </c>
      <c r="B1019" s="9">
        <v>1</v>
      </c>
      <c r="C1019" s="9">
        <v>5</v>
      </c>
      <c r="D1019" s="10" t="s">
        <v>16</v>
      </c>
      <c r="E1019" s="11" t="s">
        <v>724</v>
      </c>
      <c r="F1019" s="12">
        <v>10</v>
      </c>
      <c r="G1019" s="10" t="s">
        <v>83</v>
      </c>
      <c r="H1019" s="13"/>
      <c r="I1019" s="13"/>
      <c r="J1019" s="10"/>
    </row>
    <row r="1020" spans="1:10" x14ac:dyDescent="0.2">
      <c r="A1020" s="2" t="s">
        <v>685</v>
      </c>
      <c r="B1020" s="9">
        <v>1</v>
      </c>
      <c r="C1020" s="9">
        <v>5</v>
      </c>
      <c r="D1020" s="10" t="s">
        <v>18</v>
      </c>
      <c r="E1020" s="11" t="s">
        <v>704</v>
      </c>
      <c r="F1020" s="12">
        <v>11</v>
      </c>
      <c r="G1020" s="10" t="s">
        <v>83</v>
      </c>
      <c r="H1020" s="13"/>
      <c r="I1020" s="6"/>
      <c r="J1020" s="10"/>
    </row>
    <row r="1021" spans="1:10" ht="57" x14ac:dyDescent="0.2">
      <c r="A1021" s="2" t="s">
        <v>685</v>
      </c>
      <c r="B1021" s="9">
        <v>1</v>
      </c>
      <c r="C1021" s="9">
        <v>5</v>
      </c>
      <c r="D1021" s="10" t="s">
        <v>20</v>
      </c>
      <c r="E1021" s="11" t="s">
        <v>725</v>
      </c>
      <c r="F1021" s="12">
        <v>11</v>
      </c>
      <c r="G1021" s="10" t="s">
        <v>83</v>
      </c>
      <c r="H1021" s="13"/>
      <c r="I1021" s="13"/>
      <c r="J1021" s="10"/>
    </row>
    <row r="1022" spans="1:10" ht="104.25" x14ac:dyDescent="0.2">
      <c r="A1022" s="2" t="s">
        <v>685</v>
      </c>
      <c r="B1022" s="9">
        <v>1</v>
      </c>
      <c r="C1022" s="9">
        <v>5</v>
      </c>
      <c r="D1022" s="10" t="s">
        <v>22</v>
      </c>
      <c r="E1022" s="11" t="s">
        <v>726</v>
      </c>
      <c r="F1022" s="12">
        <v>17</v>
      </c>
      <c r="G1022" s="10" t="s">
        <v>83</v>
      </c>
      <c r="H1022" s="13"/>
      <c r="I1022" s="13"/>
      <c r="J1022" s="10"/>
    </row>
    <row r="1023" spans="1:10" ht="44.25" x14ac:dyDescent="0.2">
      <c r="A1023" s="2" t="s">
        <v>685</v>
      </c>
      <c r="B1023" s="9">
        <v>1</v>
      </c>
      <c r="C1023" s="9">
        <v>5</v>
      </c>
      <c r="D1023" s="10" t="s">
        <v>24</v>
      </c>
      <c r="E1023" s="11" t="s">
        <v>724</v>
      </c>
      <c r="F1023" s="12">
        <v>24</v>
      </c>
      <c r="G1023" s="10" t="s">
        <v>83</v>
      </c>
      <c r="H1023" s="13"/>
      <c r="I1023" s="13"/>
      <c r="J1023" s="10"/>
    </row>
    <row r="1024" spans="1:10" x14ac:dyDescent="0.2">
      <c r="A1024" s="2" t="s">
        <v>685</v>
      </c>
      <c r="B1024" s="9">
        <v>1</v>
      </c>
      <c r="C1024" s="9">
        <v>5</v>
      </c>
      <c r="D1024" s="10" t="s">
        <v>27</v>
      </c>
      <c r="E1024" s="11" t="s">
        <v>700</v>
      </c>
      <c r="F1024" s="12">
        <v>9</v>
      </c>
      <c r="G1024" s="10" t="s">
        <v>83</v>
      </c>
      <c r="H1024" s="13"/>
      <c r="I1024" s="13"/>
      <c r="J1024" s="10"/>
    </row>
    <row r="1025" spans="1:10" x14ac:dyDescent="0.2">
      <c r="A1025" s="2" t="s">
        <v>685</v>
      </c>
      <c r="B1025" s="9">
        <v>1</v>
      </c>
      <c r="C1025" s="9">
        <v>5</v>
      </c>
      <c r="D1025" s="10" t="s">
        <v>29</v>
      </c>
      <c r="E1025" s="11" t="s">
        <v>727</v>
      </c>
      <c r="F1025" s="12">
        <v>5</v>
      </c>
      <c r="G1025" s="10" t="s">
        <v>83</v>
      </c>
      <c r="H1025" s="13"/>
      <c r="I1025" s="13"/>
      <c r="J1025" s="10"/>
    </row>
    <row r="1026" spans="1:10" x14ac:dyDescent="0.2">
      <c r="A1026" s="2" t="s">
        <v>685</v>
      </c>
      <c r="B1026" s="9">
        <v>1</v>
      </c>
      <c r="C1026" s="9">
        <v>5</v>
      </c>
      <c r="D1026" s="10" t="s">
        <v>32</v>
      </c>
      <c r="E1026" s="11" t="s">
        <v>701</v>
      </c>
      <c r="F1026" s="12">
        <v>9</v>
      </c>
      <c r="G1026" s="10" t="s">
        <v>83</v>
      </c>
      <c r="H1026" s="13"/>
      <c r="I1026" s="13"/>
      <c r="J1026" s="10"/>
    </row>
    <row r="1027" spans="1:10" x14ac:dyDescent="0.2">
      <c r="A1027" s="2" t="s">
        <v>685</v>
      </c>
      <c r="B1027" s="9">
        <v>1</v>
      </c>
      <c r="C1027" s="9">
        <v>5</v>
      </c>
      <c r="D1027" s="10" t="s">
        <v>33</v>
      </c>
      <c r="E1027" s="11" t="s">
        <v>702</v>
      </c>
      <c r="F1027" s="12">
        <v>3</v>
      </c>
      <c r="G1027" s="10" t="s">
        <v>258</v>
      </c>
      <c r="H1027" s="13"/>
      <c r="I1027" s="6"/>
      <c r="J1027" s="10"/>
    </row>
    <row r="1028" spans="1:10" x14ac:dyDescent="0.2">
      <c r="A1028" s="2" t="s">
        <v>685</v>
      </c>
      <c r="B1028" s="9">
        <v>1</v>
      </c>
      <c r="C1028" s="9">
        <v>5</v>
      </c>
      <c r="D1028" s="10" t="s">
        <v>34</v>
      </c>
      <c r="E1028" s="11" t="s">
        <v>704</v>
      </c>
      <c r="F1028" s="12">
        <v>14.000000000000002</v>
      </c>
      <c r="G1028" s="10" t="s">
        <v>83</v>
      </c>
      <c r="H1028" s="13"/>
      <c r="I1028" s="6"/>
      <c r="J1028" s="10"/>
    </row>
    <row r="1029" spans="1:10" ht="57" x14ac:dyDescent="0.2">
      <c r="A1029" s="2" t="s">
        <v>685</v>
      </c>
      <c r="B1029" s="9">
        <v>1</v>
      </c>
      <c r="C1029" s="9">
        <v>5</v>
      </c>
      <c r="D1029" s="10" t="s">
        <v>35</v>
      </c>
      <c r="E1029" s="11" t="s">
        <v>712</v>
      </c>
      <c r="F1029" s="12">
        <v>5</v>
      </c>
      <c r="G1029" s="10" t="s">
        <v>83</v>
      </c>
      <c r="H1029" s="13"/>
      <c r="I1029" s="13"/>
      <c r="J1029" s="10"/>
    </row>
    <row r="1030" spans="1:10" ht="57" x14ac:dyDescent="0.2">
      <c r="A1030" s="2" t="s">
        <v>685</v>
      </c>
      <c r="B1030" s="9">
        <v>1</v>
      </c>
      <c r="C1030" s="9">
        <v>5</v>
      </c>
      <c r="D1030" s="10" t="s">
        <v>36</v>
      </c>
      <c r="E1030" s="11" t="s">
        <v>713</v>
      </c>
      <c r="F1030" s="12">
        <v>1</v>
      </c>
      <c r="G1030" s="10" t="s">
        <v>83</v>
      </c>
      <c r="H1030" s="13"/>
      <c r="I1030" s="13"/>
      <c r="J1030" s="10"/>
    </row>
    <row r="1031" spans="1:10" ht="42.75" x14ac:dyDescent="0.2">
      <c r="A1031" s="2" t="s">
        <v>685</v>
      </c>
      <c r="B1031" s="9">
        <v>1</v>
      </c>
      <c r="C1031" s="9">
        <v>5</v>
      </c>
      <c r="D1031" s="10" t="s">
        <v>40</v>
      </c>
      <c r="E1031" s="11" t="s">
        <v>714</v>
      </c>
      <c r="F1031" s="12">
        <v>3</v>
      </c>
      <c r="G1031" s="10" t="s">
        <v>83</v>
      </c>
      <c r="H1031" s="13"/>
      <c r="I1031" s="13"/>
      <c r="J1031" s="10"/>
    </row>
    <row r="1032" spans="1:10" ht="57" x14ac:dyDescent="0.2">
      <c r="A1032" s="2" t="s">
        <v>685</v>
      </c>
      <c r="B1032" s="9">
        <v>1</v>
      </c>
      <c r="C1032" s="9">
        <v>5</v>
      </c>
      <c r="D1032" s="10" t="s">
        <v>42</v>
      </c>
      <c r="E1032" s="11" t="s">
        <v>715</v>
      </c>
      <c r="F1032" s="12">
        <v>8</v>
      </c>
      <c r="G1032" s="10" t="s">
        <v>83</v>
      </c>
      <c r="H1032" s="13"/>
      <c r="I1032" s="13"/>
      <c r="J1032" s="10"/>
    </row>
    <row r="1033" spans="1:10" x14ac:dyDescent="0.2">
      <c r="A1033" s="1" t="s">
        <v>728</v>
      </c>
      <c r="B1033" s="1"/>
      <c r="C1033" s="1"/>
      <c r="D1033" s="1"/>
      <c r="E1033" s="1"/>
      <c r="F1033" s="1"/>
      <c r="G1033" s="1"/>
      <c r="H1033" s="1" t="s">
        <v>67</v>
      </c>
      <c r="I1033" s="13">
        <f>I1018+I1019+I1021+I1022+I1023+I1024+I1025+I1026+I1029+I1030+I1031+I1032</f>
        <v>0</v>
      </c>
      <c r="J1033" s="1"/>
    </row>
    <row r="1036" spans="1:10" ht="15" x14ac:dyDescent="0.25">
      <c r="A1036" s="21" t="s">
        <v>729</v>
      </c>
      <c r="B1036" s="22"/>
      <c r="C1036" s="22"/>
      <c r="D1036" s="22"/>
      <c r="E1036" s="22"/>
      <c r="F1036" s="22"/>
      <c r="G1036" s="22"/>
      <c r="H1036" s="22"/>
      <c r="I1036" s="22"/>
      <c r="J1036" s="22"/>
    </row>
    <row r="1037" spans="1:10" ht="15" x14ac:dyDescent="0.25">
      <c r="A1037" s="21" t="s">
        <v>684</v>
      </c>
      <c r="B1037" s="22"/>
      <c r="C1037" s="22"/>
      <c r="D1037" s="22"/>
      <c r="E1037" s="22"/>
      <c r="F1037" s="22"/>
      <c r="G1037" s="22"/>
      <c r="H1037" s="22"/>
      <c r="I1037" s="22"/>
      <c r="J1037" s="22"/>
    </row>
    <row r="1039" spans="1:10" ht="15" x14ac:dyDescent="0.25">
      <c r="A1039" s="3" t="s">
        <v>2</v>
      </c>
      <c r="B1039" s="3" t="s">
        <v>3</v>
      </c>
      <c r="C1039" s="3" t="s">
        <v>4</v>
      </c>
      <c r="D1039" s="3" t="s">
        <v>5</v>
      </c>
      <c r="E1039" s="3" t="s">
        <v>6</v>
      </c>
      <c r="F1039" s="7" t="s">
        <v>7</v>
      </c>
      <c r="G1039" s="3" t="s">
        <v>8</v>
      </c>
      <c r="H1039" s="7" t="s">
        <v>9</v>
      </c>
      <c r="I1039" s="7" t="s">
        <v>10</v>
      </c>
      <c r="J1039" s="3" t="s">
        <v>11</v>
      </c>
    </row>
    <row r="1040" spans="1:10" ht="89.25" x14ac:dyDescent="0.2">
      <c r="A1040" s="2" t="s">
        <v>685</v>
      </c>
      <c r="B1040" s="9">
        <v>1</v>
      </c>
      <c r="C1040" s="9">
        <v>6</v>
      </c>
      <c r="D1040" s="10" t="s">
        <v>13</v>
      </c>
      <c r="E1040" s="11" t="s">
        <v>730</v>
      </c>
      <c r="F1040" s="12">
        <v>43</v>
      </c>
      <c r="G1040" s="10" t="s">
        <v>83</v>
      </c>
      <c r="H1040" s="13"/>
      <c r="I1040" s="13"/>
      <c r="J1040" s="10"/>
    </row>
    <row r="1041" spans="1:10" x14ac:dyDescent="0.2">
      <c r="A1041" s="2" t="s">
        <v>685</v>
      </c>
      <c r="B1041" s="9">
        <v>1</v>
      </c>
      <c r="C1041" s="9">
        <v>6</v>
      </c>
      <c r="D1041" s="10" t="s">
        <v>16</v>
      </c>
      <c r="E1041" s="11" t="s">
        <v>731</v>
      </c>
      <c r="F1041" s="12">
        <v>17</v>
      </c>
      <c r="G1041" s="10" t="s">
        <v>83</v>
      </c>
      <c r="H1041" s="13"/>
      <c r="I1041" s="13"/>
      <c r="J1041" s="10"/>
    </row>
    <row r="1042" spans="1:10" ht="44.25" x14ac:dyDescent="0.2">
      <c r="A1042" s="2" t="s">
        <v>685</v>
      </c>
      <c r="B1042" s="9">
        <v>1</v>
      </c>
      <c r="C1042" s="9">
        <v>6</v>
      </c>
      <c r="D1042" s="10" t="s">
        <v>18</v>
      </c>
      <c r="E1042" s="11" t="s">
        <v>732</v>
      </c>
      <c r="F1042" s="12">
        <v>227</v>
      </c>
      <c r="G1042" s="10" t="s">
        <v>83</v>
      </c>
      <c r="H1042" s="13"/>
      <c r="I1042" s="13"/>
      <c r="J1042" s="10"/>
    </row>
    <row r="1043" spans="1:10" x14ac:dyDescent="0.2">
      <c r="A1043" s="2" t="s">
        <v>685</v>
      </c>
      <c r="B1043" s="9">
        <v>1</v>
      </c>
      <c r="C1043" s="9">
        <v>6</v>
      </c>
      <c r="D1043" s="10" t="s">
        <v>20</v>
      </c>
      <c r="E1043" s="11" t="s">
        <v>700</v>
      </c>
      <c r="F1043" s="12">
        <v>48</v>
      </c>
      <c r="G1043" s="10" t="s">
        <v>83</v>
      </c>
      <c r="H1043" s="13"/>
      <c r="I1043" s="13"/>
      <c r="J1043" s="10"/>
    </row>
    <row r="1044" spans="1:10" x14ac:dyDescent="0.2">
      <c r="A1044" s="2" t="s">
        <v>685</v>
      </c>
      <c r="B1044" s="9">
        <v>1</v>
      </c>
      <c r="C1044" s="9">
        <v>6</v>
      </c>
      <c r="D1044" s="10" t="s">
        <v>22</v>
      </c>
      <c r="E1044" s="11" t="s">
        <v>701</v>
      </c>
      <c r="F1044" s="12">
        <v>89</v>
      </c>
      <c r="G1044" s="10" t="s">
        <v>83</v>
      </c>
      <c r="H1044" s="13"/>
      <c r="I1044" s="13"/>
      <c r="J1044" s="10"/>
    </row>
    <row r="1045" spans="1:10" x14ac:dyDescent="0.2">
      <c r="A1045" s="2" t="s">
        <v>685</v>
      </c>
      <c r="B1045" s="9">
        <v>1</v>
      </c>
      <c r="C1045" s="9">
        <v>6</v>
      </c>
      <c r="D1045" s="10" t="s">
        <v>24</v>
      </c>
      <c r="E1045" s="11" t="s">
        <v>702</v>
      </c>
      <c r="F1045" s="12">
        <v>8</v>
      </c>
      <c r="G1045" s="10" t="s">
        <v>258</v>
      </c>
      <c r="H1045" s="13"/>
      <c r="I1045" s="6"/>
      <c r="J1045" s="10"/>
    </row>
    <row r="1046" spans="1:10" x14ac:dyDescent="0.2">
      <c r="A1046" s="2" t="s">
        <v>685</v>
      </c>
      <c r="B1046" s="9">
        <v>1</v>
      </c>
      <c r="C1046" s="9">
        <v>6</v>
      </c>
      <c r="D1046" s="10" t="s">
        <v>27</v>
      </c>
      <c r="E1046" s="11" t="s">
        <v>704</v>
      </c>
      <c r="F1046" s="12">
        <v>53</v>
      </c>
      <c r="G1046" s="10" t="s">
        <v>83</v>
      </c>
      <c r="H1046" s="13"/>
      <c r="I1046" s="6"/>
      <c r="J1046" s="10"/>
    </row>
    <row r="1047" spans="1:10" ht="57" x14ac:dyDescent="0.2">
      <c r="A1047" s="2" t="s">
        <v>685</v>
      </c>
      <c r="B1047" s="9">
        <v>1</v>
      </c>
      <c r="C1047" s="9">
        <v>6</v>
      </c>
      <c r="D1047" s="10" t="s">
        <v>29</v>
      </c>
      <c r="E1047" s="11" t="s">
        <v>712</v>
      </c>
      <c r="F1047" s="12">
        <v>32</v>
      </c>
      <c r="G1047" s="10" t="s">
        <v>83</v>
      </c>
      <c r="H1047" s="13"/>
      <c r="I1047" s="13"/>
      <c r="J1047" s="10"/>
    </row>
    <row r="1048" spans="1:10" ht="42.75" x14ac:dyDescent="0.2">
      <c r="A1048" s="2" t="s">
        <v>685</v>
      </c>
      <c r="B1048" s="9">
        <v>1</v>
      </c>
      <c r="C1048" s="9">
        <v>6</v>
      </c>
      <c r="D1048" s="10" t="s">
        <v>32</v>
      </c>
      <c r="E1048" s="11" t="s">
        <v>714</v>
      </c>
      <c r="F1048" s="12">
        <v>2</v>
      </c>
      <c r="G1048" s="10" t="s">
        <v>83</v>
      </c>
      <c r="H1048" s="13"/>
      <c r="I1048" s="13"/>
      <c r="J1048" s="10"/>
    </row>
    <row r="1049" spans="1:10" ht="57" x14ac:dyDescent="0.2">
      <c r="A1049" s="2" t="s">
        <v>685</v>
      </c>
      <c r="B1049" s="9">
        <v>1</v>
      </c>
      <c r="C1049" s="9">
        <v>6</v>
      </c>
      <c r="D1049" s="10" t="s">
        <v>33</v>
      </c>
      <c r="E1049" s="11" t="s">
        <v>715</v>
      </c>
      <c r="F1049" s="12">
        <v>1</v>
      </c>
      <c r="G1049" s="10" t="s">
        <v>83</v>
      </c>
      <c r="H1049" s="13"/>
      <c r="I1049" s="13"/>
      <c r="J1049" s="10"/>
    </row>
    <row r="1050" spans="1:10" ht="42.75" x14ac:dyDescent="0.2">
      <c r="A1050" s="2" t="s">
        <v>685</v>
      </c>
      <c r="B1050" s="9">
        <v>1</v>
      </c>
      <c r="C1050" s="9">
        <v>6</v>
      </c>
      <c r="D1050" s="10" t="s">
        <v>34</v>
      </c>
      <c r="E1050" s="11" t="s">
        <v>714</v>
      </c>
      <c r="F1050" s="12">
        <v>13</v>
      </c>
      <c r="G1050" s="10" t="s">
        <v>83</v>
      </c>
      <c r="H1050" s="13"/>
      <c r="I1050" s="13"/>
      <c r="J1050" s="10"/>
    </row>
    <row r="1051" spans="1:10" ht="57" x14ac:dyDescent="0.2">
      <c r="A1051" s="2" t="s">
        <v>685</v>
      </c>
      <c r="B1051" s="9">
        <v>1</v>
      </c>
      <c r="C1051" s="9">
        <v>6</v>
      </c>
      <c r="D1051" s="10" t="s">
        <v>35</v>
      </c>
      <c r="E1051" s="11" t="s">
        <v>715</v>
      </c>
      <c r="F1051" s="12">
        <v>11</v>
      </c>
      <c r="G1051" s="10" t="s">
        <v>83</v>
      </c>
      <c r="H1051" s="13"/>
      <c r="I1051" s="13"/>
      <c r="J1051" s="10"/>
    </row>
    <row r="1052" spans="1:10" ht="89.25" x14ac:dyDescent="0.2">
      <c r="A1052" s="2" t="s">
        <v>685</v>
      </c>
      <c r="B1052" s="9">
        <v>1</v>
      </c>
      <c r="C1052" s="9">
        <v>6</v>
      </c>
      <c r="D1052" s="10" t="s">
        <v>36</v>
      </c>
      <c r="E1052" s="11" t="s">
        <v>733</v>
      </c>
      <c r="F1052" s="12">
        <v>2</v>
      </c>
      <c r="G1052" s="10" t="s">
        <v>83</v>
      </c>
      <c r="H1052" s="13"/>
      <c r="I1052" s="13"/>
      <c r="J1052" s="10"/>
    </row>
    <row r="1053" spans="1:10" ht="44.25" x14ac:dyDescent="0.2">
      <c r="A1053" s="2" t="s">
        <v>685</v>
      </c>
      <c r="B1053" s="9">
        <v>1</v>
      </c>
      <c r="C1053" s="9">
        <v>6</v>
      </c>
      <c r="D1053" s="10" t="s">
        <v>40</v>
      </c>
      <c r="E1053" s="11" t="s">
        <v>734</v>
      </c>
      <c r="F1053" s="12">
        <v>19</v>
      </c>
      <c r="G1053" s="10" t="s">
        <v>83</v>
      </c>
      <c r="H1053" s="13"/>
      <c r="I1053" s="13"/>
      <c r="J1053" s="10"/>
    </row>
    <row r="1054" spans="1:10" x14ac:dyDescent="0.2">
      <c r="A1054" s="2" t="s">
        <v>685</v>
      </c>
      <c r="B1054" s="9">
        <v>1</v>
      </c>
      <c r="C1054" s="9">
        <v>6</v>
      </c>
      <c r="D1054" s="10" t="s">
        <v>42</v>
      </c>
      <c r="E1054" s="11" t="s">
        <v>735</v>
      </c>
      <c r="F1054" s="12">
        <v>10</v>
      </c>
      <c r="G1054" s="10" t="s">
        <v>83</v>
      </c>
      <c r="H1054" s="13"/>
      <c r="I1054" s="13"/>
      <c r="J1054" s="10"/>
    </row>
    <row r="1055" spans="1:10" x14ac:dyDescent="0.2">
      <c r="A1055" s="2" t="s">
        <v>685</v>
      </c>
      <c r="B1055" s="9">
        <v>1</v>
      </c>
      <c r="C1055" s="9">
        <v>6</v>
      </c>
      <c r="D1055" s="10" t="s">
        <v>44</v>
      </c>
      <c r="E1055" s="11" t="s">
        <v>704</v>
      </c>
      <c r="F1055" s="12">
        <v>2</v>
      </c>
      <c r="G1055" s="10" t="s">
        <v>83</v>
      </c>
      <c r="H1055" s="13"/>
      <c r="I1055" s="6"/>
      <c r="J1055" s="10"/>
    </row>
    <row r="1056" spans="1:10" ht="42.75" x14ac:dyDescent="0.2">
      <c r="A1056" s="2" t="s">
        <v>685</v>
      </c>
      <c r="B1056" s="9">
        <v>1</v>
      </c>
      <c r="C1056" s="9">
        <v>6</v>
      </c>
      <c r="D1056" s="10" t="s">
        <v>46</v>
      </c>
      <c r="E1056" s="11" t="s">
        <v>714</v>
      </c>
      <c r="F1056" s="12">
        <v>2</v>
      </c>
      <c r="G1056" s="10" t="s">
        <v>83</v>
      </c>
      <c r="H1056" s="13"/>
      <c r="I1056" s="13"/>
      <c r="J1056" s="10"/>
    </row>
    <row r="1057" spans="1:10" x14ac:dyDescent="0.2">
      <c r="A1057" s="1" t="s">
        <v>736</v>
      </c>
      <c r="B1057" s="1"/>
      <c r="C1057" s="1"/>
      <c r="D1057" s="1"/>
      <c r="E1057" s="1"/>
      <c r="F1057" s="1"/>
      <c r="G1057" s="1"/>
      <c r="H1057" s="1" t="s">
        <v>67</v>
      </c>
      <c r="I1057" s="13">
        <f>I1040+I1041+I1042+I1043+I1044+I1047+I1048+I1049+I1050+I1051+I1052+I1053+I1054+I1056</f>
        <v>0</v>
      </c>
      <c r="J1057" s="1"/>
    </row>
    <row r="1060" spans="1:10" ht="15" x14ac:dyDescent="0.25">
      <c r="A1060" s="21" t="s">
        <v>737</v>
      </c>
      <c r="B1060" s="22"/>
      <c r="C1060" s="22"/>
      <c r="D1060" s="22"/>
      <c r="E1060" s="22"/>
      <c r="F1060" s="22"/>
      <c r="G1060" s="22"/>
      <c r="H1060" s="22"/>
      <c r="I1060" s="22"/>
      <c r="J1060" s="22"/>
    </row>
    <row r="1061" spans="1:10" ht="15" x14ac:dyDescent="0.25">
      <c r="A1061" s="21" t="s">
        <v>684</v>
      </c>
      <c r="B1061" s="22"/>
      <c r="C1061" s="22"/>
      <c r="D1061" s="22"/>
      <c r="E1061" s="22"/>
      <c r="F1061" s="22"/>
      <c r="G1061" s="22"/>
      <c r="H1061" s="22"/>
      <c r="I1061" s="22"/>
      <c r="J1061" s="22"/>
    </row>
    <row r="1063" spans="1:10" ht="15" x14ac:dyDescent="0.25">
      <c r="A1063" s="3" t="s">
        <v>2</v>
      </c>
      <c r="B1063" s="3" t="s">
        <v>3</v>
      </c>
      <c r="C1063" s="3" t="s">
        <v>4</v>
      </c>
      <c r="D1063" s="3" t="s">
        <v>5</v>
      </c>
      <c r="E1063" s="3" t="s">
        <v>6</v>
      </c>
      <c r="F1063" s="7" t="s">
        <v>7</v>
      </c>
      <c r="G1063" s="3" t="s">
        <v>8</v>
      </c>
      <c r="H1063" s="7" t="s">
        <v>9</v>
      </c>
      <c r="I1063" s="7" t="s">
        <v>10</v>
      </c>
      <c r="J1063" s="3" t="s">
        <v>11</v>
      </c>
    </row>
    <row r="1064" spans="1:10" ht="134.25" x14ac:dyDescent="0.2">
      <c r="A1064" s="2" t="s">
        <v>685</v>
      </c>
      <c r="B1064" s="9">
        <v>1</v>
      </c>
      <c r="C1064" s="9">
        <v>7</v>
      </c>
      <c r="D1064" s="10" t="s">
        <v>13</v>
      </c>
      <c r="E1064" s="11" t="s">
        <v>738</v>
      </c>
      <c r="F1064" s="12">
        <v>1</v>
      </c>
      <c r="G1064" s="10" t="s">
        <v>100</v>
      </c>
      <c r="H1064" s="13"/>
      <c r="I1064" s="6"/>
      <c r="J1064" s="10"/>
    </row>
    <row r="1065" spans="1:10" x14ac:dyDescent="0.2">
      <c r="A1065" s="2" t="s">
        <v>685</v>
      </c>
      <c r="B1065" s="9">
        <v>1</v>
      </c>
      <c r="C1065" s="9">
        <v>7</v>
      </c>
      <c r="D1065" s="10" t="s">
        <v>16</v>
      </c>
      <c r="E1065" s="11" t="s">
        <v>739</v>
      </c>
      <c r="F1065" s="12">
        <v>21</v>
      </c>
      <c r="G1065" s="10" t="s">
        <v>83</v>
      </c>
      <c r="H1065" s="13"/>
      <c r="I1065" s="13"/>
      <c r="J1065" s="10"/>
    </row>
    <row r="1066" spans="1:10" ht="44.25" x14ac:dyDescent="0.2">
      <c r="A1066" s="2" t="s">
        <v>685</v>
      </c>
      <c r="B1066" s="9">
        <v>1</v>
      </c>
      <c r="C1066" s="9">
        <v>7</v>
      </c>
      <c r="D1066" s="10" t="s">
        <v>18</v>
      </c>
      <c r="E1066" s="11" t="s">
        <v>740</v>
      </c>
      <c r="F1066" s="12">
        <v>14.000000000000002</v>
      </c>
      <c r="G1066" s="10" t="s">
        <v>83</v>
      </c>
      <c r="H1066" s="13"/>
      <c r="I1066" s="13"/>
      <c r="J1066" s="10"/>
    </row>
    <row r="1067" spans="1:10" x14ac:dyDescent="0.2">
      <c r="A1067" s="2" t="s">
        <v>685</v>
      </c>
      <c r="B1067" s="9">
        <v>1</v>
      </c>
      <c r="C1067" s="9">
        <v>7</v>
      </c>
      <c r="D1067" s="10" t="s">
        <v>20</v>
      </c>
      <c r="E1067" s="11" t="s">
        <v>700</v>
      </c>
      <c r="F1067" s="12">
        <v>5</v>
      </c>
      <c r="G1067" s="10" t="s">
        <v>83</v>
      </c>
      <c r="H1067" s="13"/>
      <c r="I1067" s="13"/>
      <c r="J1067" s="10"/>
    </row>
    <row r="1068" spans="1:10" x14ac:dyDescent="0.2">
      <c r="A1068" s="2" t="s">
        <v>685</v>
      </c>
      <c r="B1068" s="9">
        <v>1</v>
      </c>
      <c r="C1068" s="9">
        <v>7</v>
      </c>
      <c r="D1068" s="10" t="s">
        <v>22</v>
      </c>
      <c r="E1068" s="11" t="s">
        <v>701</v>
      </c>
      <c r="F1068" s="12">
        <v>5</v>
      </c>
      <c r="G1068" s="10" t="s">
        <v>83</v>
      </c>
      <c r="H1068" s="13"/>
      <c r="I1068" s="13"/>
      <c r="J1068" s="10"/>
    </row>
    <row r="1069" spans="1:10" x14ac:dyDescent="0.2">
      <c r="A1069" s="2" t="s">
        <v>685</v>
      </c>
      <c r="B1069" s="9">
        <v>1</v>
      </c>
      <c r="C1069" s="9">
        <v>7</v>
      </c>
      <c r="D1069" s="10" t="s">
        <v>24</v>
      </c>
      <c r="E1069" s="11" t="s">
        <v>704</v>
      </c>
      <c r="F1069" s="12">
        <v>21</v>
      </c>
      <c r="G1069" s="10" t="s">
        <v>83</v>
      </c>
      <c r="H1069" s="13"/>
      <c r="I1069" s="6"/>
      <c r="J1069" s="10"/>
    </row>
    <row r="1070" spans="1:10" ht="42.75" x14ac:dyDescent="0.2">
      <c r="A1070" s="2" t="s">
        <v>685</v>
      </c>
      <c r="B1070" s="9">
        <v>1</v>
      </c>
      <c r="C1070" s="9">
        <v>7</v>
      </c>
      <c r="D1070" s="10" t="s">
        <v>27</v>
      </c>
      <c r="E1070" s="11" t="s">
        <v>714</v>
      </c>
      <c r="F1070" s="12">
        <v>14.000000000000002</v>
      </c>
      <c r="G1070" s="10" t="s">
        <v>83</v>
      </c>
      <c r="H1070" s="13"/>
      <c r="I1070" s="13"/>
      <c r="J1070" s="10"/>
    </row>
    <row r="1071" spans="1:10" ht="57" x14ac:dyDescent="0.2">
      <c r="A1071" s="2" t="s">
        <v>685</v>
      </c>
      <c r="B1071" s="9">
        <v>1</v>
      </c>
      <c r="C1071" s="9">
        <v>7</v>
      </c>
      <c r="D1071" s="10" t="s">
        <v>29</v>
      </c>
      <c r="E1071" s="11" t="s">
        <v>715</v>
      </c>
      <c r="F1071" s="12">
        <v>7.0000000000000009</v>
      </c>
      <c r="G1071" s="10" t="s">
        <v>83</v>
      </c>
      <c r="H1071" s="13"/>
      <c r="I1071" s="13"/>
      <c r="J1071" s="10"/>
    </row>
    <row r="1072" spans="1:10" x14ac:dyDescent="0.2">
      <c r="A1072" s="1" t="s">
        <v>741</v>
      </c>
      <c r="B1072" s="1"/>
      <c r="C1072" s="1"/>
      <c r="D1072" s="1"/>
      <c r="E1072" s="1"/>
      <c r="F1072" s="1"/>
      <c r="G1072" s="1"/>
      <c r="H1072" s="1" t="s">
        <v>67</v>
      </c>
      <c r="I1072" s="13">
        <f>I1065+I1066+I1067+I1068+I1070+I1071</f>
        <v>0</v>
      </c>
      <c r="J1072" s="1"/>
    </row>
    <row r="1075" spans="1:10" ht="15" x14ac:dyDescent="0.25">
      <c r="A1075" s="21" t="s">
        <v>742</v>
      </c>
      <c r="B1075" s="22"/>
      <c r="C1075" s="22"/>
      <c r="D1075" s="22"/>
      <c r="E1075" s="22"/>
      <c r="F1075" s="22"/>
      <c r="G1075" s="22"/>
      <c r="H1075" s="22"/>
      <c r="I1075" s="22"/>
      <c r="J1075" s="22"/>
    </row>
    <row r="1076" spans="1:10" ht="15" x14ac:dyDescent="0.25">
      <c r="A1076" s="21" t="s">
        <v>684</v>
      </c>
      <c r="B1076" s="22"/>
      <c r="C1076" s="22"/>
      <c r="D1076" s="22"/>
      <c r="E1076" s="22"/>
      <c r="F1076" s="22"/>
      <c r="G1076" s="22"/>
      <c r="H1076" s="22"/>
      <c r="I1076" s="22"/>
      <c r="J1076" s="22"/>
    </row>
    <row r="1078" spans="1:10" ht="15" x14ac:dyDescent="0.25">
      <c r="A1078" s="3" t="s">
        <v>2</v>
      </c>
      <c r="B1078" s="3" t="s">
        <v>3</v>
      </c>
      <c r="C1078" s="3" t="s">
        <v>4</v>
      </c>
      <c r="D1078" s="3" t="s">
        <v>5</v>
      </c>
      <c r="E1078" s="3" t="s">
        <v>6</v>
      </c>
      <c r="F1078" s="7" t="s">
        <v>7</v>
      </c>
      <c r="G1078" s="3" t="s">
        <v>8</v>
      </c>
      <c r="H1078" s="7" t="s">
        <v>9</v>
      </c>
      <c r="I1078" s="7" t="s">
        <v>10</v>
      </c>
      <c r="J1078" s="3" t="s">
        <v>11</v>
      </c>
    </row>
    <row r="1079" spans="1:10" ht="74.25" x14ac:dyDescent="0.2">
      <c r="A1079" s="2" t="s">
        <v>685</v>
      </c>
      <c r="B1079" s="9">
        <v>1</v>
      </c>
      <c r="C1079" s="9">
        <v>8</v>
      </c>
      <c r="D1079" s="10" t="s">
        <v>13</v>
      </c>
      <c r="E1079" s="11" t="s">
        <v>743</v>
      </c>
      <c r="F1079" s="12">
        <v>0</v>
      </c>
      <c r="G1079" s="10" t="s">
        <v>83</v>
      </c>
      <c r="H1079" s="13"/>
      <c r="I1079" s="6"/>
      <c r="J1079" s="10"/>
    </row>
    <row r="1080" spans="1:10" ht="132.75" x14ac:dyDescent="0.2">
      <c r="A1080" s="2" t="s">
        <v>685</v>
      </c>
      <c r="B1080" s="9">
        <v>1</v>
      </c>
      <c r="C1080" s="9">
        <v>8</v>
      </c>
      <c r="D1080" s="10" t="s">
        <v>16</v>
      </c>
      <c r="E1080" s="11" t="s">
        <v>744</v>
      </c>
      <c r="F1080" s="12">
        <v>1</v>
      </c>
      <c r="G1080" s="10" t="s">
        <v>100</v>
      </c>
      <c r="H1080" s="13"/>
      <c r="I1080" s="6"/>
      <c r="J1080" s="10"/>
    </row>
    <row r="1081" spans="1:10" x14ac:dyDescent="0.2">
      <c r="A1081" s="2" t="s">
        <v>685</v>
      </c>
      <c r="B1081" s="9">
        <v>1</v>
      </c>
      <c r="C1081" s="9">
        <v>8</v>
      </c>
      <c r="D1081" s="10" t="s">
        <v>18</v>
      </c>
      <c r="E1081" s="11" t="s">
        <v>745</v>
      </c>
      <c r="F1081" s="12">
        <v>248</v>
      </c>
      <c r="G1081" s="10" t="s">
        <v>83</v>
      </c>
      <c r="H1081" s="13"/>
      <c r="I1081" s="13"/>
      <c r="J1081" s="10"/>
    </row>
    <row r="1082" spans="1:10" x14ac:dyDescent="0.2">
      <c r="A1082" s="2" t="s">
        <v>685</v>
      </c>
      <c r="B1082" s="9">
        <v>1</v>
      </c>
      <c r="C1082" s="9">
        <v>8</v>
      </c>
      <c r="D1082" s="10" t="s">
        <v>20</v>
      </c>
      <c r="E1082" s="11" t="s">
        <v>746</v>
      </c>
      <c r="F1082" s="12">
        <v>373</v>
      </c>
      <c r="G1082" s="10" t="s">
        <v>83</v>
      </c>
      <c r="H1082" s="13"/>
      <c r="I1082" s="13"/>
      <c r="J1082" s="10"/>
    </row>
    <row r="1083" spans="1:10" ht="28.5" x14ac:dyDescent="0.2">
      <c r="A1083" s="2" t="s">
        <v>685</v>
      </c>
      <c r="B1083" s="9">
        <v>1</v>
      </c>
      <c r="C1083" s="9">
        <v>8</v>
      </c>
      <c r="D1083" s="10" t="s">
        <v>22</v>
      </c>
      <c r="E1083" s="11" t="s">
        <v>747</v>
      </c>
      <c r="F1083" s="12">
        <v>83</v>
      </c>
      <c r="G1083" s="10" t="s">
        <v>83</v>
      </c>
      <c r="H1083" s="13"/>
      <c r="I1083" s="13"/>
      <c r="J1083" s="10"/>
    </row>
    <row r="1084" spans="1:10" ht="28.5" x14ac:dyDescent="0.2">
      <c r="A1084" s="2" t="s">
        <v>685</v>
      </c>
      <c r="B1084" s="9">
        <v>1</v>
      </c>
      <c r="C1084" s="9">
        <v>8</v>
      </c>
      <c r="D1084" s="10" t="s">
        <v>24</v>
      </c>
      <c r="E1084" s="11" t="s">
        <v>748</v>
      </c>
      <c r="F1084" s="12">
        <v>559</v>
      </c>
      <c r="G1084" s="10" t="s">
        <v>83</v>
      </c>
      <c r="H1084" s="13"/>
      <c r="I1084" s="13"/>
      <c r="J1084" s="10"/>
    </row>
    <row r="1085" spans="1:10" ht="57" x14ac:dyDescent="0.2">
      <c r="A1085" s="2" t="s">
        <v>685</v>
      </c>
      <c r="B1085" s="9">
        <v>1</v>
      </c>
      <c r="C1085" s="9">
        <v>8</v>
      </c>
      <c r="D1085" s="10" t="s">
        <v>27</v>
      </c>
      <c r="E1085" s="11" t="s">
        <v>749</v>
      </c>
      <c r="F1085" s="12">
        <v>534</v>
      </c>
      <c r="G1085" s="10" t="s">
        <v>83</v>
      </c>
      <c r="H1085" s="13"/>
      <c r="I1085" s="13"/>
      <c r="J1085" s="10"/>
    </row>
    <row r="1086" spans="1:10" ht="58.5" x14ac:dyDescent="0.2">
      <c r="A1086" s="2" t="s">
        <v>685</v>
      </c>
      <c r="B1086" s="9">
        <v>1</v>
      </c>
      <c r="C1086" s="9">
        <v>8</v>
      </c>
      <c r="D1086" s="10" t="s">
        <v>29</v>
      </c>
      <c r="E1086" s="11" t="s">
        <v>750</v>
      </c>
      <c r="F1086" s="12">
        <v>0</v>
      </c>
      <c r="G1086" s="10" t="s">
        <v>83</v>
      </c>
      <c r="H1086" s="13"/>
      <c r="I1086" s="6"/>
      <c r="J1086" s="10"/>
    </row>
    <row r="1087" spans="1:10" ht="28.5" x14ac:dyDescent="0.2">
      <c r="A1087" s="2" t="s">
        <v>685</v>
      </c>
      <c r="B1087" s="9">
        <v>1</v>
      </c>
      <c r="C1087" s="9">
        <v>8</v>
      </c>
      <c r="D1087" s="10" t="s">
        <v>32</v>
      </c>
      <c r="E1087" s="11" t="s">
        <v>751</v>
      </c>
      <c r="F1087" s="12">
        <v>0</v>
      </c>
      <c r="G1087" s="10" t="s">
        <v>83</v>
      </c>
      <c r="H1087" s="13"/>
      <c r="I1087" s="6"/>
      <c r="J1087" s="10"/>
    </row>
    <row r="1088" spans="1:10" ht="28.5" x14ac:dyDescent="0.2">
      <c r="A1088" s="2" t="s">
        <v>685</v>
      </c>
      <c r="B1088" s="9">
        <v>1</v>
      </c>
      <c r="C1088" s="9">
        <v>8</v>
      </c>
      <c r="D1088" s="10" t="s">
        <v>33</v>
      </c>
      <c r="E1088" s="11" t="s">
        <v>752</v>
      </c>
      <c r="F1088" s="12">
        <v>0</v>
      </c>
      <c r="G1088" s="10" t="s">
        <v>83</v>
      </c>
      <c r="H1088" s="13"/>
      <c r="I1088" s="6"/>
      <c r="J1088" s="10"/>
    </row>
    <row r="1089" spans="1:10" ht="104.25" x14ac:dyDescent="0.2">
      <c r="A1089" s="2" t="s">
        <v>685</v>
      </c>
      <c r="B1089" s="9">
        <v>1</v>
      </c>
      <c r="C1089" s="9">
        <v>8</v>
      </c>
      <c r="D1089" s="10" t="s">
        <v>34</v>
      </c>
      <c r="E1089" s="11" t="s">
        <v>753</v>
      </c>
      <c r="F1089" s="12">
        <v>5</v>
      </c>
      <c r="G1089" s="10" t="s">
        <v>83</v>
      </c>
      <c r="H1089" s="13"/>
      <c r="I1089" s="13"/>
      <c r="J1089" s="10"/>
    </row>
    <row r="1090" spans="1:10" ht="58.5" x14ac:dyDescent="0.2">
      <c r="A1090" s="2" t="s">
        <v>685</v>
      </c>
      <c r="B1090" s="9">
        <v>1</v>
      </c>
      <c r="C1090" s="9">
        <v>8</v>
      </c>
      <c r="D1090" s="10" t="s">
        <v>35</v>
      </c>
      <c r="E1090" s="11" t="s">
        <v>754</v>
      </c>
      <c r="F1090" s="12">
        <v>108</v>
      </c>
      <c r="G1090" s="10" t="s">
        <v>83</v>
      </c>
      <c r="H1090" s="13"/>
      <c r="I1090" s="13"/>
      <c r="J1090" s="10"/>
    </row>
    <row r="1091" spans="1:10" ht="28.5" x14ac:dyDescent="0.2">
      <c r="A1091" s="2" t="s">
        <v>685</v>
      </c>
      <c r="B1091" s="9">
        <v>1</v>
      </c>
      <c r="C1091" s="9">
        <v>8</v>
      </c>
      <c r="D1091" s="10" t="s">
        <v>36</v>
      </c>
      <c r="E1091" s="11" t="s">
        <v>755</v>
      </c>
      <c r="F1091" s="12">
        <v>130</v>
      </c>
      <c r="G1091" s="10" t="s">
        <v>83</v>
      </c>
      <c r="H1091" s="13"/>
      <c r="I1091" s="13"/>
      <c r="J1091" s="10"/>
    </row>
    <row r="1092" spans="1:10" ht="73.5" x14ac:dyDescent="0.2">
      <c r="A1092" s="2" t="s">
        <v>685</v>
      </c>
      <c r="B1092" s="9">
        <v>1</v>
      </c>
      <c r="C1092" s="9">
        <v>8</v>
      </c>
      <c r="D1092" s="10" t="s">
        <v>40</v>
      </c>
      <c r="E1092" s="11" t="s">
        <v>756</v>
      </c>
      <c r="F1092" s="12">
        <v>6</v>
      </c>
      <c r="G1092" s="10" t="s">
        <v>83</v>
      </c>
      <c r="H1092" s="13"/>
      <c r="I1092" s="13"/>
      <c r="J1092" s="10"/>
    </row>
    <row r="1093" spans="1:10" ht="28.5" x14ac:dyDescent="0.2">
      <c r="A1093" s="2" t="s">
        <v>685</v>
      </c>
      <c r="B1093" s="9">
        <v>1</v>
      </c>
      <c r="C1093" s="9">
        <v>8</v>
      </c>
      <c r="D1093" s="10" t="s">
        <v>42</v>
      </c>
      <c r="E1093" s="11" t="s">
        <v>757</v>
      </c>
      <c r="F1093" s="12">
        <v>10</v>
      </c>
      <c r="G1093" s="10" t="s">
        <v>83</v>
      </c>
      <c r="H1093" s="13"/>
      <c r="I1093" s="13"/>
      <c r="J1093" s="10"/>
    </row>
    <row r="1094" spans="1:10" ht="133.5" x14ac:dyDescent="0.2">
      <c r="A1094" s="2" t="s">
        <v>685</v>
      </c>
      <c r="B1094" s="9">
        <v>1</v>
      </c>
      <c r="C1094" s="9">
        <v>8</v>
      </c>
      <c r="D1094" s="10" t="s">
        <v>44</v>
      </c>
      <c r="E1094" s="11" t="s">
        <v>758</v>
      </c>
      <c r="F1094" s="12">
        <v>1</v>
      </c>
      <c r="G1094" s="10" t="s">
        <v>83</v>
      </c>
      <c r="H1094" s="13"/>
      <c r="I1094" s="13"/>
      <c r="J1094" s="10"/>
    </row>
    <row r="1095" spans="1:10" ht="28.5" x14ac:dyDescent="0.2">
      <c r="A1095" s="2" t="s">
        <v>685</v>
      </c>
      <c r="B1095" s="9">
        <v>1</v>
      </c>
      <c r="C1095" s="9">
        <v>8</v>
      </c>
      <c r="D1095" s="10" t="s">
        <v>46</v>
      </c>
      <c r="E1095" s="11" t="s">
        <v>755</v>
      </c>
      <c r="F1095" s="12">
        <v>54</v>
      </c>
      <c r="G1095" s="10" t="s">
        <v>83</v>
      </c>
      <c r="H1095" s="13"/>
      <c r="I1095" s="13"/>
      <c r="J1095" s="10"/>
    </row>
    <row r="1096" spans="1:10" ht="163.5" x14ac:dyDescent="0.2">
      <c r="A1096" s="2" t="s">
        <v>685</v>
      </c>
      <c r="B1096" s="9">
        <v>1</v>
      </c>
      <c r="C1096" s="9">
        <v>8</v>
      </c>
      <c r="D1096" s="10" t="s">
        <v>47</v>
      </c>
      <c r="E1096" s="11" t="s">
        <v>759</v>
      </c>
      <c r="F1096" s="12">
        <v>104</v>
      </c>
      <c r="G1096" s="10" t="s">
        <v>83</v>
      </c>
      <c r="H1096" s="13"/>
      <c r="I1096" s="13"/>
      <c r="J1096" s="10"/>
    </row>
    <row r="1097" spans="1:10" ht="28.5" x14ac:dyDescent="0.2">
      <c r="A1097" s="2" t="s">
        <v>685</v>
      </c>
      <c r="B1097" s="9">
        <v>1</v>
      </c>
      <c r="C1097" s="9">
        <v>8</v>
      </c>
      <c r="D1097" s="10" t="s">
        <v>48</v>
      </c>
      <c r="E1097" s="11" t="s">
        <v>755</v>
      </c>
      <c r="F1097" s="12">
        <v>110.00000000000001</v>
      </c>
      <c r="G1097" s="10" t="s">
        <v>83</v>
      </c>
      <c r="H1097" s="13"/>
      <c r="I1097" s="13"/>
      <c r="J1097" s="10"/>
    </row>
    <row r="1098" spans="1:10" ht="162.75" x14ac:dyDescent="0.2">
      <c r="A1098" s="2" t="s">
        <v>685</v>
      </c>
      <c r="B1098" s="9">
        <v>1</v>
      </c>
      <c r="C1098" s="9">
        <v>8</v>
      </c>
      <c r="D1098" s="10" t="s">
        <v>50</v>
      </c>
      <c r="E1098" s="11" t="s">
        <v>760</v>
      </c>
      <c r="F1098" s="12">
        <v>522</v>
      </c>
      <c r="G1098" s="10" t="s">
        <v>83</v>
      </c>
      <c r="H1098" s="13"/>
      <c r="I1098" s="13"/>
      <c r="J1098" s="10"/>
    </row>
    <row r="1099" spans="1:10" x14ac:dyDescent="0.2">
      <c r="A1099" s="2" t="s">
        <v>685</v>
      </c>
      <c r="B1099" s="9">
        <v>1</v>
      </c>
      <c r="C1099" s="9">
        <v>8</v>
      </c>
      <c r="D1099" s="10" t="s">
        <v>52</v>
      </c>
      <c r="E1099" s="11" t="s">
        <v>761</v>
      </c>
      <c r="F1099" s="12">
        <v>522</v>
      </c>
      <c r="G1099" s="10" t="s">
        <v>83</v>
      </c>
      <c r="H1099" s="13"/>
      <c r="I1099" s="13"/>
      <c r="J1099" s="10"/>
    </row>
    <row r="1100" spans="1:10" x14ac:dyDescent="0.2">
      <c r="A1100" s="2" t="s">
        <v>685</v>
      </c>
      <c r="B1100" s="9">
        <v>1</v>
      </c>
      <c r="C1100" s="9">
        <v>8</v>
      </c>
      <c r="D1100" s="10" t="s">
        <v>54</v>
      </c>
      <c r="E1100" s="11" t="s">
        <v>762</v>
      </c>
      <c r="F1100" s="12">
        <v>522</v>
      </c>
      <c r="G1100" s="10" t="s">
        <v>83</v>
      </c>
      <c r="H1100" s="13"/>
      <c r="I1100" s="13"/>
      <c r="J1100" s="10"/>
    </row>
    <row r="1101" spans="1:10" ht="28.5" x14ac:dyDescent="0.2">
      <c r="A1101" s="2" t="s">
        <v>685</v>
      </c>
      <c r="B1101" s="9">
        <v>1</v>
      </c>
      <c r="C1101" s="9">
        <v>8</v>
      </c>
      <c r="D1101" s="10" t="s">
        <v>56</v>
      </c>
      <c r="E1101" s="11" t="s">
        <v>763</v>
      </c>
      <c r="F1101" s="12">
        <v>1565.9999999999998</v>
      </c>
      <c r="G1101" s="10" t="s">
        <v>83</v>
      </c>
      <c r="H1101" s="13"/>
      <c r="I1101" s="13"/>
      <c r="J1101" s="10"/>
    </row>
    <row r="1102" spans="1:10" ht="59.25" x14ac:dyDescent="0.2">
      <c r="A1102" s="2" t="s">
        <v>685</v>
      </c>
      <c r="B1102" s="9">
        <v>1</v>
      </c>
      <c r="C1102" s="9">
        <v>8</v>
      </c>
      <c r="D1102" s="10" t="s">
        <v>57</v>
      </c>
      <c r="E1102" s="11" t="s">
        <v>764</v>
      </c>
      <c r="F1102" s="12">
        <v>0</v>
      </c>
      <c r="G1102" s="10" t="s">
        <v>83</v>
      </c>
      <c r="H1102" s="13"/>
      <c r="I1102" s="6"/>
      <c r="J1102" s="10"/>
    </row>
    <row r="1103" spans="1:10" ht="44.25" x14ac:dyDescent="0.2">
      <c r="A1103" s="2" t="s">
        <v>685</v>
      </c>
      <c r="B1103" s="9">
        <v>1</v>
      </c>
      <c r="C1103" s="9">
        <v>8</v>
      </c>
      <c r="D1103" s="10" t="s">
        <v>59</v>
      </c>
      <c r="E1103" s="11" t="s">
        <v>765</v>
      </c>
      <c r="F1103" s="12">
        <v>509.99999999999994</v>
      </c>
      <c r="G1103" s="10" t="s">
        <v>109</v>
      </c>
      <c r="H1103" s="13"/>
      <c r="I1103" s="13"/>
      <c r="J1103" s="10"/>
    </row>
    <row r="1104" spans="1:10" x14ac:dyDescent="0.2">
      <c r="A1104" s="2" t="s">
        <v>685</v>
      </c>
      <c r="B1104" s="9">
        <v>1</v>
      </c>
      <c r="C1104" s="9">
        <v>8</v>
      </c>
      <c r="D1104" s="10" t="s">
        <v>60</v>
      </c>
      <c r="E1104" s="11" t="s">
        <v>766</v>
      </c>
      <c r="F1104" s="12">
        <v>1123</v>
      </c>
      <c r="G1104" s="10" t="s">
        <v>109</v>
      </c>
      <c r="H1104" s="13"/>
      <c r="I1104" s="13"/>
      <c r="J1104" s="10"/>
    </row>
    <row r="1105" spans="1:10" x14ac:dyDescent="0.2">
      <c r="A1105" s="2" t="s">
        <v>685</v>
      </c>
      <c r="B1105" s="9">
        <v>1</v>
      </c>
      <c r="C1105" s="9">
        <v>8</v>
      </c>
      <c r="D1105" s="10" t="s">
        <v>62</v>
      </c>
      <c r="E1105" s="11" t="s">
        <v>767</v>
      </c>
      <c r="F1105" s="12">
        <v>501</v>
      </c>
      <c r="G1105" s="10" t="s">
        <v>109</v>
      </c>
      <c r="H1105" s="13"/>
      <c r="I1105" s="13"/>
      <c r="J1105" s="10"/>
    </row>
    <row r="1106" spans="1:10" x14ac:dyDescent="0.2">
      <c r="A1106" s="1" t="s">
        <v>768</v>
      </c>
      <c r="B1106" s="1"/>
      <c r="C1106" s="1"/>
      <c r="D1106" s="1"/>
      <c r="E1106" s="1"/>
      <c r="F1106" s="1"/>
      <c r="G1106" s="1"/>
      <c r="H1106" s="1" t="s">
        <v>67</v>
      </c>
      <c r="I1106" s="13">
        <f>I1081+I1082+I1083+I1084+I1085+I1089+I1090+I1091+I1092+I1093+I1094+I1095+I1096+I1097+I1098+I1099+I1100+I1101+I1103+I1104+I1105</f>
        <v>0</v>
      </c>
      <c r="J1106" s="1"/>
    </row>
    <row r="1109" spans="1:10" ht="15" x14ac:dyDescent="0.25">
      <c r="A1109" s="21" t="s">
        <v>769</v>
      </c>
      <c r="B1109" s="22"/>
      <c r="C1109" s="22"/>
      <c r="D1109" s="22"/>
      <c r="E1109" s="22"/>
      <c r="F1109" s="22"/>
      <c r="G1109" s="22"/>
      <c r="H1109" s="22"/>
      <c r="I1109" s="22"/>
      <c r="J1109" s="22"/>
    </row>
    <row r="1110" spans="1:10" ht="15" x14ac:dyDescent="0.25">
      <c r="A1110" s="21" t="s">
        <v>684</v>
      </c>
      <c r="B1110" s="22"/>
      <c r="C1110" s="22"/>
      <c r="D1110" s="22"/>
      <c r="E1110" s="22"/>
      <c r="F1110" s="22"/>
      <c r="G1110" s="22"/>
      <c r="H1110" s="22"/>
      <c r="I1110" s="22"/>
      <c r="J1110" s="22"/>
    </row>
    <row r="1112" spans="1:10" ht="15" x14ac:dyDescent="0.25">
      <c r="A1112" s="3" t="s">
        <v>2</v>
      </c>
      <c r="B1112" s="3" t="s">
        <v>3</v>
      </c>
      <c r="C1112" s="3" t="s">
        <v>4</v>
      </c>
      <c r="D1112" s="3" t="s">
        <v>5</v>
      </c>
      <c r="E1112" s="3" t="s">
        <v>6</v>
      </c>
      <c r="F1112" s="7" t="s">
        <v>7</v>
      </c>
      <c r="G1112" s="3" t="s">
        <v>8</v>
      </c>
      <c r="H1112" s="7" t="s">
        <v>9</v>
      </c>
      <c r="I1112" s="7" t="s">
        <v>10</v>
      </c>
      <c r="J1112" s="3" t="s">
        <v>11</v>
      </c>
    </row>
    <row r="1113" spans="1:10" ht="58.5" x14ac:dyDescent="0.2">
      <c r="A1113" s="2" t="s">
        <v>685</v>
      </c>
      <c r="B1113" s="9">
        <v>1</v>
      </c>
      <c r="C1113" s="9">
        <v>9</v>
      </c>
      <c r="D1113" s="10" t="s">
        <v>13</v>
      </c>
      <c r="E1113" s="11" t="s">
        <v>770</v>
      </c>
      <c r="F1113" s="12">
        <v>340.99999999999994</v>
      </c>
      <c r="G1113" s="10" t="s">
        <v>83</v>
      </c>
      <c r="H1113" s="13"/>
      <c r="I1113" s="13"/>
      <c r="J1113" s="10"/>
    </row>
    <row r="1114" spans="1:10" ht="28.5" x14ac:dyDescent="0.2">
      <c r="A1114" s="2" t="s">
        <v>685</v>
      </c>
      <c r="B1114" s="9">
        <v>1</v>
      </c>
      <c r="C1114" s="9">
        <v>9</v>
      </c>
      <c r="D1114" s="10" t="s">
        <v>16</v>
      </c>
      <c r="E1114" s="11" t="s">
        <v>771</v>
      </c>
      <c r="F1114" s="12">
        <v>1019</v>
      </c>
      <c r="G1114" s="10" t="s">
        <v>83</v>
      </c>
      <c r="H1114" s="13"/>
      <c r="I1114" s="13"/>
      <c r="J1114" s="10"/>
    </row>
    <row r="1115" spans="1:10" ht="28.5" x14ac:dyDescent="0.2">
      <c r="A1115" s="2" t="s">
        <v>685</v>
      </c>
      <c r="B1115" s="9">
        <v>1</v>
      </c>
      <c r="C1115" s="9">
        <v>9</v>
      </c>
      <c r="D1115" s="10" t="s">
        <v>18</v>
      </c>
      <c r="E1115" s="11" t="s">
        <v>772</v>
      </c>
      <c r="F1115" s="12">
        <v>1067</v>
      </c>
      <c r="G1115" s="10" t="s">
        <v>83</v>
      </c>
      <c r="H1115" s="13"/>
      <c r="I1115" s="13"/>
      <c r="J1115" s="10"/>
    </row>
    <row r="1116" spans="1:10" ht="42.75" x14ac:dyDescent="0.2">
      <c r="A1116" s="2" t="s">
        <v>685</v>
      </c>
      <c r="B1116" s="9">
        <v>1</v>
      </c>
      <c r="C1116" s="9">
        <v>9</v>
      </c>
      <c r="D1116" s="10" t="s">
        <v>20</v>
      </c>
      <c r="E1116" s="11" t="s">
        <v>773</v>
      </c>
      <c r="F1116" s="12">
        <v>534</v>
      </c>
      <c r="G1116" s="10" t="s">
        <v>83</v>
      </c>
      <c r="H1116" s="13"/>
      <c r="I1116" s="13"/>
      <c r="J1116" s="10"/>
    </row>
    <row r="1117" spans="1:10" ht="42.75" x14ac:dyDescent="0.2">
      <c r="A1117" s="2" t="s">
        <v>685</v>
      </c>
      <c r="B1117" s="9">
        <v>1</v>
      </c>
      <c r="C1117" s="9">
        <v>9</v>
      </c>
      <c r="D1117" s="10" t="s">
        <v>22</v>
      </c>
      <c r="E1117" s="11" t="s">
        <v>774</v>
      </c>
      <c r="F1117" s="12">
        <v>523</v>
      </c>
      <c r="G1117" s="10" t="s">
        <v>83</v>
      </c>
      <c r="H1117" s="13"/>
      <c r="I1117" s="13"/>
      <c r="J1117" s="10"/>
    </row>
    <row r="1118" spans="1:10" ht="28.5" x14ac:dyDescent="0.2">
      <c r="A1118" s="2" t="s">
        <v>685</v>
      </c>
      <c r="B1118" s="9">
        <v>1</v>
      </c>
      <c r="C1118" s="9">
        <v>9</v>
      </c>
      <c r="D1118" s="10" t="s">
        <v>24</v>
      </c>
      <c r="E1118" s="11" t="s">
        <v>775</v>
      </c>
      <c r="F1118" s="12">
        <v>522</v>
      </c>
      <c r="G1118" s="10" t="s">
        <v>83</v>
      </c>
      <c r="H1118" s="13"/>
      <c r="I1118" s="13"/>
      <c r="J1118" s="10"/>
    </row>
    <row r="1119" spans="1:10" ht="28.5" x14ac:dyDescent="0.2">
      <c r="A1119" s="2" t="s">
        <v>685</v>
      </c>
      <c r="B1119" s="9">
        <v>1</v>
      </c>
      <c r="C1119" s="9">
        <v>9</v>
      </c>
      <c r="D1119" s="10" t="s">
        <v>27</v>
      </c>
      <c r="E1119" s="11" t="s">
        <v>776</v>
      </c>
      <c r="F1119" s="12">
        <v>522</v>
      </c>
      <c r="G1119" s="10" t="s">
        <v>83</v>
      </c>
      <c r="H1119" s="13"/>
      <c r="I1119" s="13"/>
      <c r="J1119" s="10"/>
    </row>
    <row r="1120" spans="1:10" x14ac:dyDescent="0.2">
      <c r="A1120" s="1" t="s">
        <v>777</v>
      </c>
      <c r="B1120" s="1"/>
      <c r="C1120" s="1"/>
      <c r="D1120" s="1"/>
      <c r="E1120" s="1"/>
      <c r="F1120" s="1"/>
      <c r="G1120" s="1"/>
      <c r="H1120" s="1" t="s">
        <v>67</v>
      </c>
      <c r="I1120" s="13">
        <f>I1113+I1114+I1115+I1116+I1117+I1118+I1119</f>
        <v>0</v>
      </c>
      <c r="J1120" s="1"/>
    </row>
    <row r="1123" spans="1:10" ht="15" x14ac:dyDescent="0.25">
      <c r="A1123" s="21" t="s">
        <v>778</v>
      </c>
      <c r="B1123" s="22"/>
      <c r="C1123" s="22"/>
      <c r="D1123" s="22"/>
      <c r="E1123" s="22"/>
      <c r="F1123" s="22"/>
      <c r="G1123" s="22"/>
      <c r="H1123" s="22"/>
      <c r="I1123" s="22"/>
      <c r="J1123" s="22"/>
    </row>
    <row r="1124" spans="1:10" ht="15" x14ac:dyDescent="0.25">
      <c r="A1124" s="21" t="s">
        <v>684</v>
      </c>
      <c r="B1124" s="22"/>
      <c r="C1124" s="22"/>
      <c r="D1124" s="22"/>
      <c r="E1124" s="22"/>
      <c r="F1124" s="22"/>
      <c r="G1124" s="22"/>
      <c r="H1124" s="22"/>
      <c r="I1124" s="22"/>
      <c r="J1124" s="22"/>
    </row>
    <row r="1126" spans="1:10" ht="15" x14ac:dyDescent="0.25">
      <c r="A1126" s="3" t="s">
        <v>2</v>
      </c>
      <c r="B1126" s="3" t="s">
        <v>3</v>
      </c>
      <c r="C1126" s="3" t="s">
        <v>4</v>
      </c>
      <c r="D1126" s="3" t="s">
        <v>5</v>
      </c>
      <c r="E1126" s="3" t="s">
        <v>6</v>
      </c>
      <c r="F1126" s="7" t="s">
        <v>7</v>
      </c>
      <c r="G1126" s="3" t="s">
        <v>8</v>
      </c>
      <c r="H1126" s="7" t="s">
        <v>9</v>
      </c>
      <c r="I1126" s="7" t="s">
        <v>10</v>
      </c>
      <c r="J1126" s="3" t="s">
        <v>11</v>
      </c>
    </row>
    <row r="1127" spans="1:10" ht="89.25" x14ac:dyDescent="0.2">
      <c r="A1127" s="2" t="s">
        <v>685</v>
      </c>
      <c r="B1127" s="9">
        <v>1</v>
      </c>
      <c r="C1127" s="9">
        <v>10</v>
      </c>
      <c r="D1127" s="10" t="s">
        <v>13</v>
      </c>
      <c r="E1127" s="11" t="s">
        <v>779</v>
      </c>
      <c r="F1127" s="12">
        <v>260</v>
      </c>
      <c r="G1127" s="10" t="s">
        <v>109</v>
      </c>
      <c r="H1127" s="13"/>
      <c r="I1127" s="13"/>
      <c r="J1127" s="10"/>
    </row>
    <row r="1128" spans="1:10" x14ac:dyDescent="0.2">
      <c r="A1128" s="2" t="s">
        <v>685</v>
      </c>
      <c r="B1128" s="9">
        <v>1</v>
      </c>
      <c r="C1128" s="9">
        <v>10</v>
      </c>
      <c r="D1128" s="10" t="s">
        <v>16</v>
      </c>
      <c r="E1128" s="11" t="s">
        <v>780</v>
      </c>
      <c r="F1128" s="12">
        <v>40</v>
      </c>
      <c r="G1128" s="10" t="s">
        <v>83</v>
      </c>
      <c r="H1128" s="13"/>
      <c r="I1128" s="13"/>
      <c r="J1128" s="10"/>
    </row>
    <row r="1129" spans="1:10" ht="44.25" x14ac:dyDescent="0.2">
      <c r="A1129" s="2" t="s">
        <v>685</v>
      </c>
      <c r="B1129" s="9">
        <v>1</v>
      </c>
      <c r="C1129" s="9">
        <v>10</v>
      </c>
      <c r="D1129" s="10" t="s">
        <v>18</v>
      </c>
      <c r="E1129" s="11" t="s">
        <v>781</v>
      </c>
      <c r="F1129" s="12">
        <v>1</v>
      </c>
      <c r="G1129" s="10" t="s">
        <v>127</v>
      </c>
      <c r="H1129" s="13"/>
      <c r="I1129" s="13"/>
      <c r="J1129" s="10"/>
    </row>
    <row r="1130" spans="1:10" x14ac:dyDescent="0.2">
      <c r="A1130" s="2" t="s">
        <v>685</v>
      </c>
      <c r="B1130" s="9">
        <v>1</v>
      </c>
      <c r="C1130" s="9">
        <v>10</v>
      </c>
      <c r="D1130" s="10" t="s">
        <v>20</v>
      </c>
      <c r="E1130" s="11" t="s">
        <v>782</v>
      </c>
      <c r="F1130" s="12">
        <v>1</v>
      </c>
      <c r="G1130" s="10" t="s">
        <v>127</v>
      </c>
      <c r="H1130" s="13"/>
      <c r="I1130" s="13"/>
      <c r="J1130" s="10"/>
    </row>
    <row r="1131" spans="1:10" x14ac:dyDescent="0.2">
      <c r="A1131" s="2" t="s">
        <v>685</v>
      </c>
      <c r="B1131" s="9">
        <v>1</v>
      </c>
      <c r="C1131" s="9">
        <v>10</v>
      </c>
      <c r="D1131" s="10" t="s">
        <v>22</v>
      </c>
      <c r="E1131" s="11" t="s">
        <v>783</v>
      </c>
      <c r="F1131" s="12">
        <v>34</v>
      </c>
      <c r="G1131" s="10" t="s">
        <v>258</v>
      </c>
      <c r="H1131" s="13"/>
      <c r="I1131" s="13"/>
      <c r="J1131" s="10"/>
    </row>
    <row r="1132" spans="1:10" x14ac:dyDescent="0.2">
      <c r="A1132" s="2" t="s">
        <v>685</v>
      </c>
      <c r="B1132" s="9">
        <v>1</v>
      </c>
      <c r="C1132" s="9">
        <v>10</v>
      </c>
      <c r="D1132" s="10" t="s">
        <v>24</v>
      </c>
      <c r="E1132" s="11" t="s">
        <v>784</v>
      </c>
      <c r="F1132" s="12">
        <v>4</v>
      </c>
      <c r="G1132" s="10" t="s">
        <v>258</v>
      </c>
      <c r="H1132" s="13"/>
      <c r="I1132" s="13"/>
      <c r="J1132" s="10"/>
    </row>
    <row r="1133" spans="1:10" x14ac:dyDescent="0.2">
      <c r="A1133" s="2" t="s">
        <v>685</v>
      </c>
      <c r="B1133" s="9">
        <v>1</v>
      </c>
      <c r="C1133" s="9">
        <v>10</v>
      </c>
      <c r="D1133" s="10" t="s">
        <v>27</v>
      </c>
      <c r="E1133" s="11" t="s">
        <v>785</v>
      </c>
      <c r="F1133" s="12">
        <v>5</v>
      </c>
      <c r="G1133" s="10" t="s">
        <v>258</v>
      </c>
      <c r="H1133" s="13"/>
      <c r="I1133" s="13"/>
      <c r="J1133" s="10"/>
    </row>
    <row r="1134" spans="1:10" x14ac:dyDescent="0.2">
      <c r="A1134" s="2" t="s">
        <v>685</v>
      </c>
      <c r="B1134" s="9">
        <v>1</v>
      </c>
      <c r="C1134" s="9">
        <v>10</v>
      </c>
      <c r="D1134" s="10" t="s">
        <v>29</v>
      </c>
      <c r="E1134" s="11" t="s">
        <v>786</v>
      </c>
      <c r="F1134" s="12">
        <v>4</v>
      </c>
      <c r="G1134" s="10" t="s">
        <v>258</v>
      </c>
      <c r="H1134" s="13"/>
      <c r="I1134" s="13"/>
      <c r="J1134" s="10"/>
    </row>
    <row r="1135" spans="1:10" x14ac:dyDescent="0.2">
      <c r="A1135" s="2" t="s">
        <v>685</v>
      </c>
      <c r="B1135" s="9">
        <v>1</v>
      </c>
      <c r="C1135" s="9">
        <v>10</v>
      </c>
      <c r="D1135" s="10" t="s">
        <v>32</v>
      </c>
      <c r="E1135" s="11" t="s">
        <v>787</v>
      </c>
      <c r="F1135" s="12">
        <v>2</v>
      </c>
      <c r="G1135" s="10" t="s">
        <v>258</v>
      </c>
      <c r="H1135" s="13"/>
      <c r="I1135" s="13"/>
      <c r="J1135" s="10"/>
    </row>
    <row r="1136" spans="1:10" x14ac:dyDescent="0.2">
      <c r="A1136" s="2" t="s">
        <v>685</v>
      </c>
      <c r="B1136" s="9">
        <v>1</v>
      </c>
      <c r="C1136" s="9">
        <v>10</v>
      </c>
      <c r="D1136" s="10" t="s">
        <v>33</v>
      </c>
      <c r="E1136" s="11" t="s">
        <v>788</v>
      </c>
      <c r="F1136" s="12">
        <v>4</v>
      </c>
      <c r="G1136" s="10" t="s">
        <v>258</v>
      </c>
      <c r="H1136" s="13"/>
      <c r="I1136" s="13"/>
      <c r="J1136" s="10"/>
    </row>
    <row r="1137" spans="1:10" x14ac:dyDescent="0.2">
      <c r="A1137" s="2" t="s">
        <v>685</v>
      </c>
      <c r="B1137" s="9">
        <v>1</v>
      </c>
      <c r="C1137" s="9">
        <v>10</v>
      </c>
      <c r="D1137" s="10" t="s">
        <v>34</v>
      </c>
      <c r="E1137" s="11" t="s">
        <v>789</v>
      </c>
      <c r="F1137" s="12">
        <v>4</v>
      </c>
      <c r="G1137" s="10" t="s">
        <v>258</v>
      </c>
      <c r="H1137" s="13"/>
      <c r="I1137" s="13"/>
      <c r="J1137" s="10"/>
    </row>
    <row r="1138" spans="1:10" x14ac:dyDescent="0.2">
      <c r="A1138" s="2" t="s">
        <v>685</v>
      </c>
      <c r="B1138" s="9">
        <v>1</v>
      </c>
      <c r="C1138" s="9">
        <v>10</v>
      </c>
      <c r="D1138" s="10" t="s">
        <v>35</v>
      </c>
      <c r="E1138" s="11" t="s">
        <v>790</v>
      </c>
      <c r="F1138" s="12">
        <v>1</v>
      </c>
      <c r="G1138" s="10" t="s">
        <v>127</v>
      </c>
      <c r="H1138" s="13"/>
      <c r="I1138" s="13"/>
      <c r="J1138" s="10"/>
    </row>
    <row r="1139" spans="1:10" x14ac:dyDescent="0.2">
      <c r="A1139" s="2" t="s">
        <v>685</v>
      </c>
      <c r="B1139" s="9">
        <v>1</v>
      </c>
      <c r="C1139" s="9">
        <v>10</v>
      </c>
      <c r="D1139" s="10" t="s">
        <v>36</v>
      </c>
      <c r="E1139" s="11" t="s">
        <v>791</v>
      </c>
      <c r="F1139" s="12">
        <v>1298</v>
      </c>
      <c r="G1139" s="10" t="s">
        <v>83</v>
      </c>
      <c r="H1139" s="13"/>
      <c r="I1139" s="13"/>
      <c r="J1139" s="10"/>
    </row>
    <row r="1140" spans="1:10" x14ac:dyDescent="0.2">
      <c r="A1140" s="2" t="s">
        <v>685</v>
      </c>
      <c r="B1140" s="9">
        <v>1</v>
      </c>
      <c r="C1140" s="9">
        <v>10</v>
      </c>
      <c r="D1140" s="10" t="s">
        <v>40</v>
      </c>
      <c r="E1140" s="11" t="s">
        <v>792</v>
      </c>
      <c r="F1140" s="12">
        <v>1010</v>
      </c>
      <c r="G1140" s="10" t="s">
        <v>83</v>
      </c>
      <c r="H1140" s="13"/>
      <c r="I1140" s="13"/>
      <c r="J1140" s="10"/>
    </row>
    <row r="1141" spans="1:10" x14ac:dyDescent="0.2">
      <c r="A1141" s="2" t="s">
        <v>685</v>
      </c>
      <c r="B1141" s="9">
        <v>1</v>
      </c>
      <c r="C1141" s="9">
        <v>10</v>
      </c>
      <c r="D1141" s="10" t="s">
        <v>42</v>
      </c>
      <c r="E1141" s="11" t="s">
        <v>793</v>
      </c>
      <c r="F1141" s="12">
        <v>1283.9999999999998</v>
      </c>
      <c r="G1141" s="10" t="s">
        <v>83</v>
      </c>
      <c r="H1141" s="13"/>
      <c r="I1141" s="13"/>
      <c r="J1141" s="10"/>
    </row>
    <row r="1142" spans="1:10" x14ac:dyDescent="0.2">
      <c r="A1142" s="2" t="s">
        <v>685</v>
      </c>
      <c r="B1142" s="9">
        <v>1</v>
      </c>
      <c r="C1142" s="9">
        <v>10</v>
      </c>
      <c r="D1142" s="10" t="s">
        <v>44</v>
      </c>
      <c r="E1142" s="11" t="s">
        <v>794</v>
      </c>
      <c r="F1142" s="12">
        <v>2090</v>
      </c>
      <c r="G1142" s="10" t="s">
        <v>83</v>
      </c>
      <c r="H1142" s="13"/>
      <c r="I1142" s="13"/>
      <c r="J1142" s="10"/>
    </row>
    <row r="1143" spans="1:10" x14ac:dyDescent="0.2">
      <c r="A1143" s="1" t="s">
        <v>795</v>
      </c>
      <c r="B1143" s="1"/>
      <c r="C1143" s="1"/>
      <c r="D1143" s="1"/>
      <c r="E1143" s="1"/>
      <c r="F1143" s="1"/>
      <c r="G1143" s="1"/>
      <c r="H1143" s="1" t="s">
        <v>67</v>
      </c>
      <c r="I1143" s="13">
        <f>I1127+I1128+I1129+I1130+I1131+I1132+I1133+I1134+I1135+I1136+I1137+I1138+I1139+I1140+I1141+I1142</f>
        <v>0</v>
      </c>
      <c r="J1143" s="1"/>
    </row>
    <row r="1151" spans="1:10" ht="15" x14ac:dyDescent="0.25">
      <c r="A1151" s="3" t="s">
        <v>89</v>
      </c>
      <c r="B1151" s="14"/>
      <c r="C1151" s="14"/>
      <c r="D1151" s="14"/>
      <c r="E1151" s="14"/>
      <c r="F1151" s="14"/>
      <c r="G1151" s="14"/>
      <c r="H1151" s="14"/>
      <c r="I1151" s="7" t="s">
        <v>90</v>
      </c>
    </row>
    <row r="1152" spans="1:10" x14ac:dyDescent="0.2">
      <c r="A1152" s="15" t="s">
        <v>796</v>
      </c>
      <c r="I1152" s="16">
        <f>I954</f>
        <v>0</v>
      </c>
    </row>
    <row r="1153" spans="1:10" x14ac:dyDescent="0.2">
      <c r="A1153" s="15" t="s">
        <v>797</v>
      </c>
      <c r="I1153" s="16">
        <f>I971</f>
        <v>0</v>
      </c>
    </row>
    <row r="1154" spans="1:10" x14ac:dyDescent="0.2">
      <c r="A1154" s="15" t="s">
        <v>798</v>
      </c>
      <c r="I1154" s="16">
        <f>I991</f>
        <v>0</v>
      </c>
    </row>
    <row r="1155" spans="1:10" x14ac:dyDescent="0.2">
      <c r="A1155" s="15" t="s">
        <v>799</v>
      </c>
      <c r="I1155" s="16">
        <f>I1011</f>
        <v>0</v>
      </c>
    </row>
    <row r="1156" spans="1:10" x14ac:dyDescent="0.2">
      <c r="A1156" s="15" t="s">
        <v>800</v>
      </c>
      <c r="I1156" s="16">
        <f>I1033</f>
        <v>0</v>
      </c>
    </row>
    <row r="1157" spans="1:10" x14ac:dyDescent="0.2">
      <c r="A1157" s="15" t="s">
        <v>801</v>
      </c>
      <c r="I1157" s="16">
        <f>I1057</f>
        <v>0</v>
      </c>
    </row>
    <row r="1158" spans="1:10" x14ac:dyDescent="0.2">
      <c r="A1158" s="15" t="s">
        <v>802</v>
      </c>
      <c r="I1158" s="16">
        <f>I1072</f>
        <v>0</v>
      </c>
    </row>
    <row r="1159" spans="1:10" x14ac:dyDescent="0.2">
      <c r="A1159" s="15" t="s">
        <v>803</v>
      </c>
      <c r="I1159" s="16">
        <f>I1106</f>
        <v>0</v>
      </c>
    </row>
    <row r="1160" spans="1:10" x14ac:dyDescent="0.2">
      <c r="A1160" s="15" t="s">
        <v>804</v>
      </c>
      <c r="I1160" s="16">
        <f>I1120</f>
        <v>0</v>
      </c>
    </row>
    <row r="1161" spans="1:10" x14ac:dyDescent="0.2">
      <c r="A1161" s="15" t="s">
        <v>805</v>
      </c>
      <c r="I1161" s="16">
        <f>I1143</f>
        <v>0</v>
      </c>
    </row>
    <row r="1162" spans="1:10" x14ac:dyDescent="0.2">
      <c r="A1162" s="15"/>
      <c r="I1162" s="15"/>
    </row>
    <row r="1163" spans="1:10" x14ac:dyDescent="0.2">
      <c r="A1163" s="17"/>
      <c r="B1163" s="18"/>
      <c r="C1163" s="18"/>
      <c r="D1163" s="18"/>
      <c r="E1163" s="18"/>
      <c r="F1163" s="18"/>
      <c r="G1163" s="18"/>
      <c r="H1163" s="18"/>
      <c r="I1163" s="17"/>
    </row>
    <row r="1164" spans="1:10" x14ac:dyDescent="0.2">
      <c r="H1164" s="4" t="s">
        <v>95</v>
      </c>
      <c r="I1164" s="13">
        <f>SUM(I1152:I1163)</f>
        <v>0</v>
      </c>
    </row>
    <row r="1168" spans="1:10" ht="15" x14ac:dyDescent="0.25">
      <c r="A1168" s="21" t="s">
        <v>806</v>
      </c>
      <c r="B1168" s="22"/>
      <c r="C1168" s="22"/>
      <c r="D1168" s="22"/>
      <c r="E1168" s="22"/>
      <c r="F1168" s="22"/>
      <c r="G1168" s="22"/>
      <c r="H1168" s="22"/>
      <c r="I1168" s="22"/>
      <c r="J1168" s="22"/>
    </row>
    <row r="1169" spans="1:10" ht="15" x14ac:dyDescent="0.25">
      <c r="A1169" s="21" t="s">
        <v>807</v>
      </c>
      <c r="B1169" s="22"/>
      <c r="C1169" s="22"/>
      <c r="D1169" s="22"/>
      <c r="E1169" s="22"/>
      <c r="F1169" s="22"/>
      <c r="G1169" s="22"/>
      <c r="H1169" s="22"/>
      <c r="I1169" s="22"/>
      <c r="J1169" s="22"/>
    </row>
    <row r="1171" spans="1:10" ht="15" x14ac:dyDescent="0.25">
      <c r="A1171" s="3" t="s">
        <v>2</v>
      </c>
      <c r="B1171" s="3" t="s">
        <v>3</v>
      </c>
      <c r="C1171" s="3" t="s">
        <v>4</v>
      </c>
      <c r="D1171" s="3" t="s">
        <v>5</v>
      </c>
      <c r="E1171" s="3" t="s">
        <v>6</v>
      </c>
      <c r="F1171" s="7" t="s">
        <v>7</v>
      </c>
      <c r="G1171" s="3" t="s">
        <v>8</v>
      </c>
      <c r="H1171" s="7" t="s">
        <v>9</v>
      </c>
      <c r="I1171" s="7" t="s">
        <v>10</v>
      </c>
      <c r="J1171" s="3" t="s">
        <v>11</v>
      </c>
    </row>
    <row r="1172" spans="1:10" ht="209.25" x14ac:dyDescent="0.2">
      <c r="A1172" s="2" t="s">
        <v>808</v>
      </c>
      <c r="B1172" s="9">
        <v>1</v>
      </c>
      <c r="C1172" s="9">
        <v>1</v>
      </c>
      <c r="D1172" s="10" t="s">
        <v>13</v>
      </c>
      <c r="E1172" s="11" t="s">
        <v>809</v>
      </c>
      <c r="F1172" s="12">
        <v>1</v>
      </c>
      <c r="G1172" s="10" t="s">
        <v>100</v>
      </c>
      <c r="H1172" s="13"/>
      <c r="I1172" s="13"/>
      <c r="J1172" s="10"/>
    </row>
    <row r="1173" spans="1:10" ht="44.25" x14ac:dyDescent="0.2">
      <c r="A1173" s="2" t="s">
        <v>808</v>
      </c>
      <c r="B1173" s="9">
        <v>1</v>
      </c>
      <c r="C1173" s="9">
        <v>1</v>
      </c>
      <c r="D1173" s="10" t="s">
        <v>16</v>
      </c>
      <c r="E1173" s="11" t="s">
        <v>810</v>
      </c>
      <c r="F1173" s="12">
        <v>1</v>
      </c>
      <c r="G1173" s="10" t="s">
        <v>100</v>
      </c>
      <c r="H1173" s="13"/>
      <c r="I1173" s="13"/>
      <c r="J1173" s="10"/>
    </row>
    <row r="1174" spans="1:10" ht="132.75" x14ac:dyDescent="0.2">
      <c r="A1174" s="2" t="s">
        <v>808</v>
      </c>
      <c r="B1174" s="9">
        <v>1</v>
      </c>
      <c r="C1174" s="9">
        <v>1</v>
      </c>
      <c r="D1174" s="10" t="s">
        <v>18</v>
      </c>
      <c r="E1174" s="11" t="s">
        <v>811</v>
      </c>
      <c r="F1174" s="12">
        <v>25</v>
      </c>
      <c r="G1174" s="10" t="s">
        <v>124</v>
      </c>
      <c r="H1174" s="13"/>
      <c r="I1174" s="13"/>
      <c r="J1174" s="10"/>
    </row>
    <row r="1175" spans="1:10" ht="102.75" x14ac:dyDescent="0.2">
      <c r="A1175" s="2" t="s">
        <v>808</v>
      </c>
      <c r="B1175" s="9">
        <v>1</v>
      </c>
      <c r="C1175" s="9">
        <v>1</v>
      </c>
      <c r="D1175" s="10" t="s">
        <v>20</v>
      </c>
      <c r="E1175" s="11" t="s">
        <v>812</v>
      </c>
      <c r="F1175" s="12">
        <v>1</v>
      </c>
      <c r="G1175" s="10" t="s">
        <v>124</v>
      </c>
      <c r="H1175" s="13"/>
      <c r="I1175" s="13"/>
      <c r="J1175" s="10"/>
    </row>
    <row r="1176" spans="1:10" ht="42.75" x14ac:dyDescent="0.2">
      <c r="A1176" s="2" t="s">
        <v>808</v>
      </c>
      <c r="B1176" s="9">
        <v>1</v>
      </c>
      <c r="C1176" s="9">
        <v>1</v>
      </c>
      <c r="D1176" s="10" t="s">
        <v>22</v>
      </c>
      <c r="E1176" s="11" t="s">
        <v>813</v>
      </c>
      <c r="F1176" s="12">
        <v>1</v>
      </c>
      <c r="G1176" s="10" t="s">
        <v>124</v>
      </c>
      <c r="H1176" s="13"/>
      <c r="I1176" s="13"/>
      <c r="J1176" s="10"/>
    </row>
    <row r="1177" spans="1:10" ht="117" x14ac:dyDescent="0.2">
      <c r="A1177" s="2" t="s">
        <v>808</v>
      </c>
      <c r="B1177" s="9">
        <v>1</v>
      </c>
      <c r="C1177" s="9">
        <v>1</v>
      </c>
      <c r="D1177" s="10" t="s">
        <v>24</v>
      </c>
      <c r="E1177" s="11" t="s">
        <v>814</v>
      </c>
      <c r="F1177" s="12">
        <v>3</v>
      </c>
      <c r="G1177" s="10" t="s">
        <v>124</v>
      </c>
      <c r="H1177" s="13"/>
      <c r="I1177" s="13"/>
      <c r="J1177" s="10"/>
    </row>
    <row r="1178" spans="1:10" ht="57" x14ac:dyDescent="0.2">
      <c r="A1178" s="2" t="s">
        <v>808</v>
      </c>
      <c r="B1178" s="9">
        <v>1</v>
      </c>
      <c r="C1178" s="9">
        <v>1</v>
      </c>
      <c r="D1178" s="10" t="s">
        <v>27</v>
      </c>
      <c r="E1178" s="11" t="s">
        <v>815</v>
      </c>
      <c r="F1178" s="12">
        <v>15</v>
      </c>
      <c r="G1178" s="10" t="s">
        <v>124</v>
      </c>
      <c r="H1178" s="13"/>
      <c r="I1178" s="13"/>
      <c r="J1178" s="10"/>
    </row>
    <row r="1179" spans="1:10" ht="28.5" x14ac:dyDescent="0.2">
      <c r="A1179" s="2" t="s">
        <v>808</v>
      </c>
      <c r="B1179" s="9">
        <v>1</v>
      </c>
      <c r="C1179" s="9">
        <v>1</v>
      </c>
      <c r="D1179" s="10" t="s">
        <v>29</v>
      </c>
      <c r="E1179" s="11" t="s">
        <v>816</v>
      </c>
      <c r="F1179" s="12">
        <v>10</v>
      </c>
      <c r="G1179" s="10" t="s">
        <v>124</v>
      </c>
      <c r="H1179" s="13"/>
      <c r="I1179" s="6"/>
      <c r="J1179" s="10"/>
    </row>
    <row r="1180" spans="1:10" ht="42.75" x14ac:dyDescent="0.2">
      <c r="A1180" s="2" t="s">
        <v>808</v>
      </c>
      <c r="B1180" s="9">
        <v>1</v>
      </c>
      <c r="C1180" s="9">
        <v>1</v>
      </c>
      <c r="D1180" s="10" t="s">
        <v>32</v>
      </c>
      <c r="E1180" s="11" t="s">
        <v>817</v>
      </c>
      <c r="F1180" s="12">
        <v>26</v>
      </c>
      <c r="G1180" s="10" t="s">
        <v>124</v>
      </c>
      <c r="H1180" s="13"/>
      <c r="I1180" s="13"/>
      <c r="J1180" s="10"/>
    </row>
    <row r="1181" spans="1:10" ht="42.75" x14ac:dyDescent="0.2">
      <c r="A1181" s="2" t="s">
        <v>808</v>
      </c>
      <c r="B1181" s="9">
        <v>1</v>
      </c>
      <c r="C1181" s="9">
        <v>1</v>
      </c>
      <c r="D1181" s="10" t="s">
        <v>33</v>
      </c>
      <c r="E1181" s="11" t="s">
        <v>818</v>
      </c>
      <c r="F1181" s="12">
        <v>4</v>
      </c>
      <c r="G1181" s="10" t="s">
        <v>124</v>
      </c>
      <c r="H1181" s="13"/>
      <c r="I1181" s="13"/>
      <c r="J1181" s="10"/>
    </row>
    <row r="1182" spans="1:10" ht="72.75" x14ac:dyDescent="0.2">
      <c r="A1182" s="2" t="s">
        <v>808</v>
      </c>
      <c r="B1182" s="9">
        <v>1</v>
      </c>
      <c r="C1182" s="9">
        <v>1</v>
      </c>
      <c r="D1182" s="10" t="s">
        <v>34</v>
      </c>
      <c r="E1182" s="11" t="s">
        <v>819</v>
      </c>
      <c r="F1182" s="12">
        <v>1</v>
      </c>
      <c r="G1182" s="10" t="s">
        <v>623</v>
      </c>
      <c r="H1182" s="13"/>
      <c r="I1182" s="13"/>
      <c r="J1182" s="10"/>
    </row>
    <row r="1183" spans="1:10" ht="87" x14ac:dyDescent="0.2">
      <c r="A1183" s="2" t="s">
        <v>808</v>
      </c>
      <c r="B1183" s="9">
        <v>1</v>
      </c>
      <c r="C1183" s="9">
        <v>1</v>
      </c>
      <c r="D1183" s="10" t="s">
        <v>35</v>
      </c>
      <c r="E1183" s="11" t="s">
        <v>820</v>
      </c>
      <c r="F1183" s="12">
        <v>1</v>
      </c>
      <c r="G1183" s="10" t="s">
        <v>623</v>
      </c>
      <c r="H1183" s="13"/>
      <c r="I1183" s="13"/>
      <c r="J1183" s="10"/>
    </row>
    <row r="1184" spans="1:10" ht="87" x14ac:dyDescent="0.2">
      <c r="A1184" s="2" t="s">
        <v>808</v>
      </c>
      <c r="B1184" s="9">
        <v>1</v>
      </c>
      <c r="C1184" s="9">
        <v>1</v>
      </c>
      <c r="D1184" s="10" t="s">
        <v>36</v>
      </c>
      <c r="E1184" s="11" t="s">
        <v>821</v>
      </c>
      <c r="F1184" s="12">
        <v>4</v>
      </c>
      <c r="G1184" s="10" t="s">
        <v>623</v>
      </c>
      <c r="H1184" s="13"/>
      <c r="I1184" s="13"/>
      <c r="J1184" s="10"/>
    </row>
    <row r="1185" spans="1:10" ht="117" x14ac:dyDescent="0.2">
      <c r="A1185" s="2" t="s">
        <v>808</v>
      </c>
      <c r="B1185" s="9">
        <v>1</v>
      </c>
      <c r="C1185" s="9">
        <v>1</v>
      </c>
      <c r="D1185" s="10" t="s">
        <v>40</v>
      </c>
      <c r="E1185" s="11" t="s">
        <v>822</v>
      </c>
      <c r="F1185" s="12">
        <v>17</v>
      </c>
      <c r="G1185" s="10" t="s">
        <v>623</v>
      </c>
      <c r="H1185" s="13"/>
      <c r="I1185" s="13"/>
      <c r="J1185" s="10"/>
    </row>
    <row r="1186" spans="1:10" ht="28.5" x14ac:dyDescent="0.2">
      <c r="A1186" s="2" t="s">
        <v>808</v>
      </c>
      <c r="B1186" s="9">
        <v>1</v>
      </c>
      <c r="C1186" s="9">
        <v>1</v>
      </c>
      <c r="D1186" s="10" t="s">
        <v>42</v>
      </c>
      <c r="E1186" s="11" t="s">
        <v>823</v>
      </c>
      <c r="F1186" s="12">
        <v>16</v>
      </c>
      <c r="G1186" s="10" t="s">
        <v>124</v>
      </c>
      <c r="H1186" s="13"/>
      <c r="I1186" s="6"/>
      <c r="J1186" s="10"/>
    </row>
    <row r="1187" spans="1:10" ht="102.75" x14ac:dyDescent="0.2">
      <c r="A1187" s="2" t="s">
        <v>808</v>
      </c>
      <c r="B1187" s="9">
        <v>1</v>
      </c>
      <c r="C1187" s="9">
        <v>1</v>
      </c>
      <c r="D1187" s="10" t="s">
        <v>44</v>
      </c>
      <c r="E1187" s="11" t="s">
        <v>824</v>
      </c>
      <c r="F1187" s="12">
        <v>1</v>
      </c>
      <c r="G1187" s="10" t="s">
        <v>623</v>
      </c>
      <c r="H1187" s="13"/>
      <c r="I1187" s="13"/>
      <c r="J1187" s="10"/>
    </row>
    <row r="1188" spans="1:10" ht="44.25" x14ac:dyDescent="0.2">
      <c r="A1188" s="2" t="s">
        <v>808</v>
      </c>
      <c r="B1188" s="9">
        <v>1</v>
      </c>
      <c r="C1188" s="9">
        <v>1</v>
      </c>
      <c r="D1188" s="10" t="s">
        <v>46</v>
      </c>
      <c r="E1188" s="11" t="s">
        <v>825</v>
      </c>
      <c r="F1188" s="12">
        <v>75</v>
      </c>
      <c r="G1188" s="10" t="s">
        <v>258</v>
      </c>
      <c r="H1188" s="13"/>
      <c r="I1188" s="13"/>
      <c r="J1188" s="10"/>
    </row>
    <row r="1189" spans="1:10" x14ac:dyDescent="0.2">
      <c r="A1189" s="2" t="s">
        <v>808</v>
      </c>
      <c r="B1189" s="9">
        <v>1</v>
      </c>
      <c r="C1189" s="9">
        <v>1</v>
      </c>
      <c r="D1189" s="10" t="s">
        <v>47</v>
      </c>
      <c r="E1189" s="11" t="s">
        <v>826</v>
      </c>
      <c r="F1189" s="12">
        <v>24</v>
      </c>
      <c r="G1189" s="10" t="s">
        <v>258</v>
      </c>
      <c r="H1189" s="13"/>
      <c r="I1189" s="6"/>
      <c r="J1189" s="10"/>
    </row>
    <row r="1190" spans="1:10" x14ac:dyDescent="0.2">
      <c r="A1190" s="2" t="s">
        <v>808</v>
      </c>
      <c r="B1190" s="9">
        <v>1</v>
      </c>
      <c r="C1190" s="9">
        <v>1</v>
      </c>
      <c r="D1190" s="10" t="s">
        <v>48</v>
      </c>
      <c r="E1190" s="11" t="s">
        <v>827</v>
      </c>
      <c r="F1190" s="12">
        <v>123</v>
      </c>
      <c r="G1190" s="10" t="s">
        <v>258</v>
      </c>
      <c r="H1190" s="13"/>
      <c r="I1190" s="13"/>
      <c r="J1190" s="10"/>
    </row>
    <row r="1191" spans="1:10" ht="44.25" x14ac:dyDescent="0.2">
      <c r="A1191" s="2" t="s">
        <v>808</v>
      </c>
      <c r="B1191" s="9">
        <v>1</v>
      </c>
      <c r="C1191" s="9">
        <v>1</v>
      </c>
      <c r="D1191" s="10" t="s">
        <v>50</v>
      </c>
      <c r="E1191" s="11" t="s">
        <v>828</v>
      </c>
      <c r="F1191" s="12">
        <v>1064</v>
      </c>
      <c r="G1191" s="10" t="s">
        <v>83</v>
      </c>
      <c r="H1191" s="13"/>
      <c r="I1191" s="13"/>
      <c r="J1191" s="10"/>
    </row>
    <row r="1192" spans="1:10" ht="44.25" x14ac:dyDescent="0.2">
      <c r="A1192" s="2" t="s">
        <v>808</v>
      </c>
      <c r="B1192" s="9">
        <v>1</v>
      </c>
      <c r="C1192" s="9">
        <v>1</v>
      </c>
      <c r="D1192" s="10" t="s">
        <v>52</v>
      </c>
      <c r="E1192" s="11" t="s">
        <v>829</v>
      </c>
      <c r="F1192" s="12">
        <v>62</v>
      </c>
      <c r="G1192" s="10" t="s">
        <v>109</v>
      </c>
      <c r="H1192" s="13"/>
      <c r="I1192" s="13"/>
      <c r="J1192" s="10"/>
    </row>
    <row r="1193" spans="1:10" ht="133.5" x14ac:dyDescent="0.2">
      <c r="A1193" s="2" t="s">
        <v>808</v>
      </c>
      <c r="B1193" s="9">
        <v>1</v>
      </c>
      <c r="C1193" s="9">
        <v>1</v>
      </c>
      <c r="D1193" s="10" t="s">
        <v>54</v>
      </c>
      <c r="E1193" s="11" t="s">
        <v>830</v>
      </c>
      <c r="F1193" s="12">
        <v>1</v>
      </c>
      <c r="G1193" s="10" t="s">
        <v>124</v>
      </c>
      <c r="H1193" s="13"/>
      <c r="I1193" s="13"/>
      <c r="J1193" s="10"/>
    </row>
    <row r="1194" spans="1:10" ht="89.25" x14ac:dyDescent="0.2">
      <c r="A1194" s="2" t="s">
        <v>808</v>
      </c>
      <c r="B1194" s="9">
        <v>1</v>
      </c>
      <c r="C1194" s="9">
        <v>1</v>
      </c>
      <c r="D1194" s="10" t="s">
        <v>56</v>
      </c>
      <c r="E1194" s="11" t="s">
        <v>831</v>
      </c>
      <c r="F1194" s="12">
        <v>14.000000000000002</v>
      </c>
      <c r="G1194" s="10" t="s">
        <v>83</v>
      </c>
      <c r="H1194" s="13"/>
      <c r="I1194" s="13"/>
      <c r="J1194" s="10"/>
    </row>
    <row r="1195" spans="1:10" x14ac:dyDescent="0.2">
      <c r="A1195" s="1" t="s">
        <v>832</v>
      </c>
      <c r="B1195" s="1"/>
      <c r="C1195" s="1"/>
      <c r="D1195" s="1"/>
      <c r="E1195" s="1"/>
      <c r="F1195" s="1"/>
      <c r="G1195" s="1"/>
      <c r="H1195" s="1" t="s">
        <v>67</v>
      </c>
      <c r="I1195" s="13">
        <f>I1172+I1173+I1174+I1175+I1176+I1177+I1178+I1180+I1181+I1182+I1183+I1184+I1185+I1187+I1188+I1190+I1191+I1192+I1193+I1194</f>
        <v>0</v>
      </c>
      <c r="J1195" s="1"/>
    </row>
    <row r="1198" spans="1:10" ht="15" x14ac:dyDescent="0.25">
      <c r="A1198" s="21" t="s">
        <v>833</v>
      </c>
      <c r="B1198" s="22"/>
      <c r="C1198" s="22"/>
      <c r="D1198" s="22"/>
      <c r="E1198" s="22"/>
      <c r="F1198" s="22"/>
      <c r="G1198" s="22"/>
      <c r="H1198" s="22"/>
      <c r="I1198" s="22"/>
      <c r="J1198" s="22"/>
    </row>
    <row r="1199" spans="1:10" ht="15" x14ac:dyDescent="0.25">
      <c r="A1199" s="21" t="s">
        <v>807</v>
      </c>
      <c r="B1199" s="22"/>
      <c r="C1199" s="22"/>
      <c r="D1199" s="22"/>
      <c r="E1199" s="22"/>
      <c r="F1199" s="22"/>
      <c r="G1199" s="22"/>
      <c r="H1199" s="22"/>
      <c r="I1199" s="22"/>
      <c r="J1199" s="22"/>
    </row>
    <row r="1201" spans="1:10" ht="15" x14ac:dyDescent="0.25">
      <c r="A1201" s="3" t="s">
        <v>2</v>
      </c>
      <c r="B1201" s="3" t="s">
        <v>3</v>
      </c>
      <c r="C1201" s="3" t="s">
        <v>4</v>
      </c>
      <c r="D1201" s="3" t="s">
        <v>5</v>
      </c>
      <c r="E1201" s="3" t="s">
        <v>6</v>
      </c>
      <c r="F1201" s="7" t="s">
        <v>7</v>
      </c>
      <c r="G1201" s="3" t="s">
        <v>8</v>
      </c>
      <c r="H1201" s="7" t="s">
        <v>9</v>
      </c>
      <c r="I1201" s="7" t="s">
        <v>10</v>
      </c>
      <c r="J1201" s="3" t="s">
        <v>11</v>
      </c>
    </row>
    <row r="1202" spans="1:10" ht="104.25" x14ac:dyDescent="0.2">
      <c r="A1202" s="2" t="s">
        <v>808</v>
      </c>
      <c r="B1202" s="9">
        <v>1</v>
      </c>
      <c r="C1202" s="9">
        <v>2</v>
      </c>
      <c r="D1202" s="10" t="s">
        <v>13</v>
      </c>
      <c r="E1202" s="11" t="s">
        <v>834</v>
      </c>
      <c r="F1202" s="12">
        <v>539</v>
      </c>
      <c r="G1202" s="10" t="s">
        <v>83</v>
      </c>
      <c r="H1202" s="13"/>
      <c r="I1202" s="13"/>
      <c r="J1202" s="10"/>
    </row>
    <row r="1203" spans="1:10" ht="118.5" x14ac:dyDescent="0.2">
      <c r="A1203" s="2" t="s">
        <v>808</v>
      </c>
      <c r="B1203" s="9">
        <v>1</v>
      </c>
      <c r="C1203" s="9">
        <v>2</v>
      </c>
      <c r="D1203" s="10" t="s">
        <v>16</v>
      </c>
      <c r="E1203" s="11" t="s">
        <v>835</v>
      </c>
      <c r="F1203" s="12">
        <v>1066</v>
      </c>
      <c r="G1203" s="10" t="s">
        <v>83</v>
      </c>
      <c r="H1203" s="13"/>
      <c r="I1203" s="13"/>
      <c r="J1203" s="10"/>
    </row>
    <row r="1204" spans="1:10" ht="58.5" x14ac:dyDescent="0.2">
      <c r="A1204" s="2" t="s">
        <v>808</v>
      </c>
      <c r="B1204" s="9">
        <v>1</v>
      </c>
      <c r="C1204" s="9">
        <v>2</v>
      </c>
      <c r="D1204" s="10" t="s">
        <v>18</v>
      </c>
      <c r="E1204" s="11" t="s">
        <v>836</v>
      </c>
      <c r="F1204" s="12">
        <v>12</v>
      </c>
      <c r="G1204" s="10" t="s">
        <v>83</v>
      </c>
      <c r="H1204" s="13"/>
      <c r="I1204" s="13"/>
      <c r="J1204" s="10"/>
    </row>
    <row r="1205" spans="1:10" x14ac:dyDescent="0.2">
      <c r="A1205" s="2" t="s">
        <v>808</v>
      </c>
      <c r="B1205" s="9">
        <v>1</v>
      </c>
      <c r="C1205" s="9">
        <v>2</v>
      </c>
      <c r="D1205" s="10" t="s">
        <v>20</v>
      </c>
      <c r="E1205" s="11" t="s">
        <v>837</v>
      </c>
      <c r="F1205" s="12">
        <v>539</v>
      </c>
      <c r="G1205" s="10" t="s">
        <v>83</v>
      </c>
      <c r="H1205" s="13"/>
      <c r="I1205" s="6"/>
      <c r="J1205" s="10"/>
    </row>
    <row r="1206" spans="1:10" ht="28.5" x14ac:dyDescent="0.2">
      <c r="A1206" s="2" t="s">
        <v>808</v>
      </c>
      <c r="B1206" s="9">
        <v>1</v>
      </c>
      <c r="C1206" s="9">
        <v>2</v>
      </c>
      <c r="D1206" s="10" t="s">
        <v>22</v>
      </c>
      <c r="E1206" s="11" t="s">
        <v>838</v>
      </c>
      <c r="F1206" s="12">
        <v>1078</v>
      </c>
      <c r="G1206" s="10" t="s">
        <v>83</v>
      </c>
      <c r="H1206" s="13"/>
      <c r="I1206" s="6"/>
      <c r="J1206" s="10"/>
    </row>
    <row r="1207" spans="1:10" x14ac:dyDescent="0.2">
      <c r="A1207" s="2" t="s">
        <v>808</v>
      </c>
      <c r="B1207" s="9">
        <v>1</v>
      </c>
      <c r="C1207" s="9">
        <v>2</v>
      </c>
      <c r="D1207" s="10" t="s">
        <v>24</v>
      </c>
      <c r="E1207" s="11" t="s">
        <v>839</v>
      </c>
      <c r="F1207" s="12">
        <v>392</v>
      </c>
      <c r="G1207" s="10" t="s">
        <v>83</v>
      </c>
      <c r="H1207" s="13"/>
      <c r="I1207" s="6"/>
      <c r="J1207" s="10"/>
    </row>
    <row r="1208" spans="1:10" x14ac:dyDescent="0.2">
      <c r="A1208" s="1" t="s">
        <v>840</v>
      </c>
      <c r="B1208" s="1"/>
      <c r="C1208" s="1"/>
      <c r="D1208" s="1"/>
      <c r="E1208" s="1"/>
      <c r="F1208" s="1"/>
      <c r="G1208" s="1"/>
      <c r="H1208" s="1" t="s">
        <v>67</v>
      </c>
      <c r="I1208" s="13">
        <f>I1202+I1203+I1204</f>
        <v>0</v>
      </c>
      <c r="J1208" s="1"/>
    </row>
    <row r="1211" spans="1:10" ht="15" x14ac:dyDescent="0.25">
      <c r="A1211" s="21" t="s">
        <v>841</v>
      </c>
      <c r="B1211" s="22"/>
      <c r="C1211" s="22"/>
      <c r="D1211" s="22"/>
      <c r="E1211" s="22"/>
      <c r="F1211" s="22"/>
      <c r="G1211" s="22"/>
      <c r="H1211" s="22"/>
      <c r="I1211" s="22"/>
      <c r="J1211" s="22"/>
    </row>
    <row r="1212" spans="1:10" ht="15" x14ac:dyDescent="0.25">
      <c r="A1212" s="21" t="s">
        <v>807</v>
      </c>
      <c r="B1212" s="22"/>
      <c r="C1212" s="22"/>
      <c r="D1212" s="22"/>
      <c r="E1212" s="22"/>
      <c r="F1212" s="22"/>
      <c r="G1212" s="22"/>
      <c r="H1212" s="22"/>
      <c r="I1212" s="22"/>
      <c r="J1212" s="22"/>
    </row>
    <row r="1214" spans="1:10" ht="15" x14ac:dyDescent="0.25">
      <c r="A1214" s="3" t="s">
        <v>2</v>
      </c>
      <c r="B1214" s="3" t="s">
        <v>3</v>
      </c>
      <c r="C1214" s="3" t="s">
        <v>4</v>
      </c>
      <c r="D1214" s="3" t="s">
        <v>5</v>
      </c>
      <c r="E1214" s="3" t="s">
        <v>6</v>
      </c>
      <c r="F1214" s="7" t="s">
        <v>7</v>
      </c>
      <c r="G1214" s="3" t="s">
        <v>8</v>
      </c>
      <c r="H1214" s="7" t="s">
        <v>9</v>
      </c>
      <c r="I1214" s="7" t="s">
        <v>10</v>
      </c>
      <c r="J1214" s="3" t="s">
        <v>11</v>
      </c>
    </row>
    <row r="1215" spans="1:10" ht="207" x14ac:dyDescent="0.2">
      <c r="A1215" s="2" t="s">
        <v>808</v>
      </c>
      <c r="B1215" s="9">
        <v>1</v>
      </c>
      <c r="C1215" s="9">
        <v>3</v>
      </c>
      <c r="D1215" s="10" t="s">
        <v>13</v>
      </c>
      <c r="E1215" s="11" t="s">
        <v>842</v>
      </c>
      <c r="F1215" s="12">
        <v>1</v>
      </c>
      <c r="G1215" s="10" t="s">
        <v>100</v>
      </c>
      <c r="H1215" s="13"/>
      <c r="I1215" s="13"/>
      <c r="J1215" s="10"/>
    </row>
    <row r="1216" spans="1:10" ht="101.25" x14ac:dyDescent="0.2">
      <c r="A1216" s="2" t="s">
        <v>808</v>
      </c>
      <c r="B1216" s="9">
        <v>1</v>
      </c>
      <c r="C1216" s="9">
        <v>3</v>
      </c>
      <c r="D1216" s="10" t="s">
        <v>16</v>
      </c>
      <c r="E1216" s="11" t="s">
        <v>843</v>
      </c>
      <c r="F1216" s="12">
        <v>1</v>
      </c>
      <c r="G1216" s="10" t="s">
        <v>100</v>
      </c>
      <c r="H1216" s="13"/>
      <c r="I1216" s="13"/>
      <c r="J1216" s="10"/>
    </row>
    <row r="1217" spans="1:10" ht="44.25" x14ac:dyDescent="0.2">
      <c r="A1217" s="2" t="s">
        <v>808</v>
      </c>
      <c r="B1217" s="9">
        <v>1</v>
      </c>
      <c r="C1217" s="9">
        <v>3</v>
      </c>
      <c r="D1217" s="10" t="s">
        <v>18</v>
      </c>
      <c r="E1217" s="11" t="s">
        <v>844</v>
      </c>
      <c r="F1217" s="12">
        <v>6</v>
      </c>
      <c r="G1217" s="10" t="s">
        <v>845</v>
      </c>
      <c r="H1217" s="13"/>
      <c r="I1217" s="13"/>
      <c r="J1217" s="10"/>
    </row>
    <row r="1218" spans="1:10" x14ac:dyDescent="0.2">
      <c r="A1218" s="2" t="s">
        <v>808</v>
      </c>
      <c r="B1218" s="9">
        <v>1</v>
      </c>
      <c r="C1218" s="9">
        <v>3</v>
      </c>
      <c r="D1218" s="10" t="s">
        <v>20</v>
      </c>
      <c r="E1218" s="11" t="s">
        <v>846</v>
      </c>
      <c r="F1218" s="12">
        <v>2</v>
      </c>
      <c r="G1218" s="10" t="s">
        <v>845</v>
      </c>
      <c r="H1218" s="13"/>
      <c r="I1218" s="13"/>
      <c r="J1218" s="10"/>
    </row>
    <row r="1219" spans="1:10" x14ac:dyDescent="0.2">
      <c r="A1219" s="2" t="s">
        <v>808</v>
      </c>
      <c r="B1219" s="9">
        <v>1</v>
      </c>
      <c r="C1219" s="9">
        <v>3</v>
      </c>
      <c r="D1219" s="10" t="s">
        <v>22</v>
      </c>
      <c r="E1219" s="11" t="s">
        <v>847</v>
      </c>
      <c r="F1219" s="12">
        <v>28.000000000000004</v>
      </c>
      <c r="G1219" s="10" t="s">
        <v>845</v>
      </c>
      <c r="H1219" s="13"/>
      <c r="I1219" s="13"/>
      <c r="J1219" s="10"/>
    </row>
    <row r="1220" spans="1:10" x14ac:dyDescent="0.2">
      <c r="A1220" s="2" t="s">
        <v>808</v>
      </c>
      <c r="B1220" s="9">
        <v>1</v>
      </c>
      <c r="C1220" s="9">
        <v>3</v>
      </c>
      <c r="D1220" s="10" t="s">
        <v>24</v>
      </c>
      <c r="E1220" s="11" t="s">
        <v>848</v>
      </c>
      <c r="F1220" s="12">
        <v>26</v>
      </c>
      <c r="G1220" s="10" t="s">
        <v>845</v>
      </c>
      <c r="H1220" s="13"/>
      <c r="I1220" s="13"/>
      <c r="J1220" s="10"/>
    </row>
    <row r="1221" spans="1:10" x14ac:dyDescent="0.2">
      <c r="A1221" s="2" t="s">
        <v>808</v>
      </c>
      <c r="B1221" s="9">
        <v>1</v>
      </c>
      <c r="C1221" s="9">
        <v>3</v>
      </c>
      <c r="D1221" s="10" t="s">
        <v>27</v>
      </c>
      <c r="E1221" s="11" t="s">
        <v>849</v>
      </c>
      <c r="F1221" s="12">
        <v>1</v>
      </c>
      <c r="G1221" s="10" t="s">
        <v>845</v>
      </c>
      <c r="H1221" s="13"/>
      <c r="I1221" s="13"/>
      <c r="J1221" s="10"/>
    </row>
    <row r="1222" spans="1:10" x14ac:dyDescent="0.2">
      <c r="A1222" s="2" t="s">
        <v>808</v>
      </c>
      <c r="B1222" s="9">
        <v>1</v>
      </c>
      <c r="C1222" s="9">
        <v>3</v>
      </c>
      <c r="D1222" s="10" t="s">
        <v>29</v>
      </c>
      <c r="E1222" s="11" t="s">
        <v>850</v>
      </c>
      <c r="F1222" s="12">
        <v>15</v>
      </c>
      <c r="G1222" s="10" t="s">
        <v>845</v>
      </c>
      <c r="H1222" s="13"/>
      <c r="I1222" s="13"/>
      <c r="J1222" s="10"/>
    </row>
    <row r="1223" spans="1:10" x14ac:dyDescent="0.2">
      <c r="A1223" s="2" t="s">
        <v>808</v>
      </c>
      <c r="B1223" s="9">
        <v>1</v>
      </c>
      <c r="C1223" s="9">
        <v>3</v>
      </c>
      <c r="D1223" s="10" t="s">
        <v>32</v>
      </c>
      <c r="E1223" s="11" t="s">
        <v>851</v>
      </c>
      <c r="F1223" s="12">
        <v>1</v>
      </c>
      <c r="G1223" s="10" t="s">
        <v>845</v>
      </c>
      <c r="H1223" s="13"/>
      <c r="I1223" s="13"/>
      <c r="J1223" s="10"/>
    </row>
    <row r="1224" spans="1:10" x14ac:dyDescent="0.2">
      <c r="A1224" s="2" t="s">
        <v>808</v>
      </c>
      <c r="B1224" s="9">
        <v>1</v>
      </c>
      <c r="C1224" s="9">
        <v>3</v>
      </c>
      <c r="D1224" s="10" t="s">
        <v>33</v>
      </c>
      <c r="E1224" s="11" t="s">
        <v>852</v>
      </c>
      <c r="F1224" s="12">
        <v>4</v>
      </c>
      <c r="G1224" s="10" t="s">
        <v>845</v>
      </c>
      <c r="H1224" s="13"/>
      <c r="I1224" s="13"/>
      <c r="J1224" s="10"/>
    </row>
    <row r="1225" spans="1:10" x14ac:dyDescent="0.2">
      <c r="A1225" s="2" t="s">
        <v>808</v>
      </c>
      <c r="B1225" s="9">
        <v>1</v>
      </c>
      <c r="C1225" s="9">
        <v>3</v>
      </c>
      <c r="D1225" s="10" t="s">
        <v>34</v>
      </c>
      <c r="E1225" s="11" t="s">
        <v>853</v>
      </c>
      <c r="F1225" s="12">
        <v>16</v>
      </c>
      <c r="G1225" s="10" t="s">
        <v>845</v>
      </c>
      <c r="H1225" s="13"/>
      <c r="I1225" s="13"/>
      <c r="J1225" s="10"/>
    </row>
    <row r="1226" spans="1:10" x14ac:dyDescent="0.2">
      <c r="A1226" s="2" t="s">
        <v>808</v>
      </c>
      <c r="B1226" s="9">
        <v>1</v>
      </c>
      <c r="C1226" s="9">
        <v>3</v>
      </c>
      <c r="D1226" s="10" t="s">
        <v>35</v>
      </c>
      <c r="E1226" s="11" t="s">
        <v>854</v>
      </c>
      <c r="F1226" s="12">
        <v>3</v>
      </c>
      <c r="G1226" s="10" t="s">
        <v>258</v>
      </c>
      <c r="H1226" s="13"/>
      <c r="I1226" s="6"/>
      <c r="J1226" s="10"/>
    </row>
    <row r="1227" spans="1:10" ht="44.25" x14ac:dyDescent="0.2">
      <c r="A1227" s="2" t="s">
        <v>808</v>
      </c>
      <c r="B1227" s="9">
        <v>1</v>
      </c>
      <c r="C1227" s="9">
        <v>3</v>
      </c>
      <c r="D1227" s="10" t="s">
        <v>40</v>
      </c>
      <c r="E1227" s="11" t="s">
        <v>855</v>
      </c>
      <c r="F1227" s="12">
        <v>17</v>
      </c>
      <c r="G1227" s="10" t="s">
        <v>124</v>
      </c>
      <c r="H1227" s="13"/>
      <c r="I1227" s="6"/>
      <c r="J1227" s="10"/>
    </row>
    <row r="1228" spans="1:10" x14ac:dyDescent="0.2">
      <c r="A1228" s="1" t="s">
        <v>856</v>
      </c>
      <c r="B1228" s="1"/>
      <c r="C1228" s="1"/>
      <c r="D1228" s="1"/>
      <c r="E1228" s="1"/>
      <c r="F1228" s="1"/>
      <c r="G1228" s="1"/>
      <c r="H1228" s="1" t="s">
        <v>67</v>
      </c>
      <c r="I1228" s="13">
        <f>I1215+I1216+I1217+I1218+I1219+I1220+I1221+I1222+I1223+I1224+I1225</f>
        <v>0</v>
      </c>
      <c r="J1228" s="1"/>
    </row>
    <row r="1236" spans="1:10" ht="15" x14ac:dyDescent="0.25">
      <c r="A1236" s="3" t="s">
        <v>89</v>
      </c>
      <c r="B1236" s="14"/>
      <c r="C1236" s="14"/>
      <c r="D1236" s="14"/>
      <c r="E1236" s="14"/>
      <c r="F1236" s="14"/>
      <c r="G1236" s="14"/>
      <c r="H1236" s="14"/>
      <c r="I1236" s="7" t="s">
        <v>90</v>
      </c>
    </row>
    <row r="1237" spans="1:10" x14ac:dyDescent="0.2">
      <c r="A1237" s="15" t="s">
        <v>857</v>
      </c>
      <c r="I1237" s="16">
        <f>I1195</f>
        <v>0</v>
      </c>
    </row>
    <row r="1238" spans="1:10" x14ac:dyDescent="0.2">
      <c r="A1238" s="15" t="s">
        <v>858</v>
      </c>
      <c r="I1238" s="16">
        <f>I1208</f>
        <v>0</v>
      </c>
    </row>
    <row r="1239" spans="1:10" x14ac:dyDescent="0.2">
      <c r="A1239" s="15" t="s">
        <v>859</v>
      </c>
      <c r="I1239" s="16">
        <f>I1228</f>
        <v>0</v>
      </c>
    </row>
    <row r="1240" spans="1:10" x14ac:dyDescent="0.2">
      <c r="A1240" s="15"/>
      <c r="I1240" s="15"/>
    </row>
    <row r="1241" spans="1:10" x14ac:dyDescent="0.2">
      <c r="A1241" s="17"/>
      <c r="B1241" s="18"/>
      <c r="C1241" s="18"/>
      <c r="D1241" s="18"/>
      <c r="E1241" s="18"/>
      <c r="F1241" s="18"/>
      <c r="G1241" s="18"/>
      <c r="H1241" s="18"/>
      <c r="I1241" s="17"/>
    </row>
    <row r="1242" spans="1:10" x14ac:dyDescent="0.2">
      <c r="H1242" s="4" t="s">
        <v>95</v>
      </c>
      <c r="I1242" s="13">
        <f>SUM(I1237:I1241)</f>
        <v>0</v>
      </c>
    </row>
    <row r="1246" spans="1:10" ht="15" x14ac:dyDescent="0.25">
      <c r="A1246" s="21" t="s">
        <v>860</v>
      </c>
      <c r="B1246" s="22"/>
      <c r="C1246" s="22"/>
      <c r="D1246" s="22"/>
      <c r="E1246" s="22"/>
      <c r="F1246" s="22"/>
      <c r="G1246" s="22"/>
      <c r="H1246" s="22"/>
      <c r="I1246" s="22"/>
      <c r="J1246" s="22"/>
    </row>
    <row r="1247" spans="1:10" ht="15" x14ac:dyDescent="0.25">
      <c r="A1247" s="21" t="s">
        <v>861</v>
      </c>
      <c r="B1247" s="22"/>
      <c r="C1247" s="22"/>
      <c r="D1247" s="22"/>
      <c r="E1247" s="22"/>
      <c r="F1247" s="22"/>
      <c r="G1247" s="22"/>
      <c r="H1247" s="22"/>
      <c r="I1247" s="22"/>
      <c r="J1247" s="22"/>
    </row>
    <row r="1249" spans="1:10" ht="15" x14ac:dyDescent="0.25">
      <c r="A1249" s="3" t="s">
        <v>2</v>
      </c>
      <c r="B1249" s="3" t="s">
        <v>3</v>
      </c>
      <c r="C1249" s="3" t="s">
        <v>4</v>
      </c>
      <c r="D1249" s="3" t="s">
        <v>5</v>
      </c>
      <c r="E1249" s="3" t="s">
        <v>6</v>
      </c>
      <c r="F1249" s="7" t="s">
        <v>7</v>
      </c>
      <c r="G1249" s="3" t="s">
        <v>8</v>
      </c>
      <c r="H1249" s="7" t="s">
        <v>9</v>
      </c>
      <c r="I1249" s="7" t="s">
        <v>10</v>
      </c>
      <c r="J1249" s="3" t="s">
        <v>11</v>
      </c>
    </row>
    <row r="1250" spans="1:10" ht="177.75" x14ac:dyDescent="0.2">
      <c r="A1250" s="2" t="s">
        <v>862</v>
      </c>
      <c r="B1250" s="9">
        <v>1</v>
      </c>
      <c r="C1250" s="9">
        <v>1</v>
      </c>
      <c r="D1250" s="10" t="s">
        <v>13</v>
      </c>
      <c r="E1250" s="11" t="s">
        <v>863</v>
      </c>
      <c r="F1250" s="12">
        <v>2</v>
      </c>
      <c r="G1250" s="10" t="s">
        <v>83</v>
      </c>
      <c r="H1250" s="13"/>
      <c r="I1250" s="13"/>
      <c r="J1250" s="10"/>
    </row>
    <row r="1251" spans="1:10" x14ac:dyDescent="0.2">
      <c r="A1251" s="2" t="s">
        <v>862</v>
      </c>
      <c r="B1251" s="9">
        <v>1</v>
      </c>
      <c r="C1251" s="9">
        <v>1</v>
      </c>
      <c r="D1251" s="10" t="s">
        <v>16</v>
      </c>
      <c r="E1251" s="11" t="s">
        <v>864</v>
      </c>
      <c r="F1251" s="12">
        <v>50</v>
      </c>
      <c r="G1251" s="10" t="s">
        <v>83</v>
      </c>
      <c r="H1251" s="13"/>
      <c r="I1251" s="13"/>
      <c r="J1251" s="10"/>
    </row>
    <row r="1252" spans="1:10" x14ac:dyDescent="0.2">
      <c r="A1252" s="2" t="s">
        <v>862</v>
      </c>
      <c r="B1252" s="9">
        <v>1</v>
      </c>
      <c r="C1252" s="9">
        <v>1</v>
      </c>
      <c r="D1252" s="10" t="s">
        <v>18</v>
      </c>
      <c r="E1252" s="11" t="s">
        <v>865</v>
      </c>
      <c r="F1252" s="12">
        <v>10</v>
      </c>
      <c r="G1252" s="10" t="s">
        <v>83</v>
      </c>
      <c r="H1252" s="13"/>
      <c r="I1252" s="13"/>
      <c r="J1252" s="10"/>
    </row>
    <row r="1253" spans="1:10" x14ac:dyDescent="0.2">
      <c r="A1253" s="2" t="s">
        <v>862</v>
      </c>
      <c r="B1253" s="9">
        <v>1</v>
      </c>
      <c r="C1253" s="9">
        <v>1</v>
      </c>
      <c r="D1253" s="10" t="s">
        <v>20</v>
      </c>
      <c r="E1253" s="11" t="s">
        <v>866</v>
      </c>
      <c r="F1253" s="12">
        <v>53</v>
      </c>
      <c r="G1253" s="10" t="s">
        <v>83</v>
      </c>
      <c r="H1253" s="13"/>
      <c r="I1253" s="13"/>
      <c r="J1253" s="10"/>
    </row>
    <row r="1254" spans="1:10" x14ac:dyDescent="0.2">
      <c r="A1254" s="2" t="s">
        <v>862</v>
      </c>
      <c r="B1254" s="9">
        <v>1</v>
      </c>
      <c r="C1254" s="9">
        <v>1</v>
      </c>
      <c r="D1254" s="10" t="s">
        <v>22</v>
      </c>
      <c r="E1254" s="11" t="s">
        <v>867</v>
      </c>
      <c r="F1254" s="12">
        <v>136</v>
      </c>
      <c r="G1254" s="10" t="s">
        <v>83</v>
      </c>
      <c r="H1254" s="13"/>
      <c r="I1254" s="13"/>
      <c r="J1254" s="10"/>
    </row>
    <row r="1255" spans="1:10" ht="44.25" x14ac:dyDescent="0.2">
      <c r="A1255" s="2" t="s">
        <v>862</v>
      </c>
      <c r="B1255" s="9">
        <v>1</v>
      </c>
      <c r="C1255" s="9">
        <v>1</v>
      </c>
      <c r="D1255" s="10" t="s">
        <v>24</v>
      </c>
      <c r="E1255" s="11" t="s">
        <v>868</v>
      </c>
      <c r="F1255" s="12">
        <v>137</v>
      </c>
      <c r="G1255" s="10" t="s">
        <v>83</v>
      </c>
      <c r="H1255" s="13"/>
      <c r="I1255" s="13"/>
      <c r="J1255" s="10"/>
    </row>
    <row r="1256" spans="1:10" x14ac:dyDescent="0.2">
      <c r="A1256" s="2" t="s">
        <v>862</v>
      </c>
      <c r="B1256" s="9">
        <v>1</v>
      </c>
      <c r="C1256" s="9">
        <v>1</v>
      </c>
      <c r="D1256" s="10" t="s">
        <v>27</v>
      </c>
      <c r="E1256" s="11" t="s">
        <v>869</v>
      </c>
      <c r="F1256" s="12">
        <v>2</v>
      </c>
      <c r="G1256" s="10" t="s">
        <v>258</v>
      </c>
      <c r="H1256" s="13"/>
      <c r="I1256" s="13"/>
      <c r="J1256" s="10"/>
    </row>
    <row r="1257" spans="1:10" x14ac:dyDescent="0.2">
      <c r="A1257" s="2" t="s">
        <v>862</v>
      </c>
      <c r="B1257" s="9">
        <v>1</v>
      </c>
      <c r="C1257" s="9">
        <v>1</v>
      </c>
      <c r="D1257" s="10" t="s">
        <v>29</v>
      </c>
      <c r="E1257" s="11" t="s">
        <v>870</v>
      </c>
      <c r="F1257" s="12">
        <v>1</v>
      </c>
      <c r="G1257" s="10" t="s">
        <v>258</v>
      </c>
      <c r="H1257" s="13"/>
      <c r="I1257" s="13"/>
      <c r="J1257" s="10"/>
    </row>
    <row r="1258" spans="1:10" x14ac:dyDescent="0.2">
      <c r="A1258" s="2" t="s">
        <v>862</v>
      </c>
      <c r="B1258" s="9">
        <v>1</v>
      </c>
      <c r="C1258" s="9">
        <v>1</v>
      </c>
      <c r="D1258" s="10" t="s">
        <v>32</v>
      </c>
      <c r="E1258" s="11" t="s">
        <v>871</v>
      </c>
      <c r="F1258" s="12">
        <v>9</v>
      </c>
      <c r="G1258" s="10" t="s">
        <v>258</v>
      </c>
      <c r="H1258" s="13"/>
      <c r="I1258" s="13"/>
      <c r="J1258" s="10"/>
    </row>
    <row r="1259" spans="1:10" x14ac:dyDescent="0.2">
      <c r="A1259" s="2" t="s">
        <v>862</v>
      </c>
      <c r="B1259" s="9">
        <v>1</v>
      </c>
      <c r="C1259" s="9">
        <v>1</v>
      </c>
      <c r="D1259" s="10" t="s">
        <v>33</v>
      </c>
      <c r="E1259" s="11" t="s">
        <v>872</v>
      </c>
      <c r="F1259" s="12">
        <v>1</v>
      </c>
      <c r="G1259" s="10" t="s">
        <v>258</v>
      </c>
      <c r="H1259" s="13"/>
      <c r="I1259" s="13"/>
      <c r="J1259" s="10"/>
    </row>
    <row r="1260" spans="1:10" x14ac:dyDescent="0.2">
      <c r="A1260" s="2" t="s">
        <v>862</v>
      </c>
      <c r="B1260" s="9">
        <v>1</v>
      </c>
      <c r="C1260" s="9">
        <v>1</v>
      </c>
      <c r="D1260" s="10" t="s">
        <v>34</v>
      </c>
      <c r="E1260" s="11" t="s">
        <v>873</v>
      </c>
      <c r="F1260" s="12">
        <v>3</v>
      </c>
      <c r="G1260" s="10" t="s">
        <v>258</v>
      </c>
      <c r="H1260" s="13"/>
      <c r="I1260" s="13"/>
      <c r="J1260" s="10"/>
    </row>
    <row r="1261" spans="1:10" x14ac:dyDescent="0.2">
      <c r="A1261" s="2" t="s">
        <v>862</v>
      </c>
      <c r="B1261" s="9">
        <v>1</v>
      </c>
      <c r="C1261" s="9">
        <v>1</v>
      </c>
      <c r="D1261" s="10" t="s">
        <v>35</v>
      </c>
      <c r="E1261" s="11" t="s">
        <v>704</v>
      </c>
      <c r="F1261" s="12">
        <v>114.00000000000001</v>
      </c>
      <c r="G1261" s="10" t="s">
        <v>83</v>
      </c>
      <c r="H1261" s="13"/>
      <c r="I1261" s="6"/>
      <c r="J1261" s="10"/>
    </row>
    <row r="1262" spans="1:10" ht="28.5" x14ac:dyDescent="0.2">
      <c r="A1262" s="2" t="s">
        <v>862</v>
      </c>
      <c r="B1262" s="9">
        <v>1</v>
      </c>
      <c r="C1262" s="9">
        <v>1</v>
      </c>
      <c r="D1262" s="10" t="s">
        <v>36</v>
      </c>
      <c r="E1262" s="11" t="s">
        <v>874</v>
      </c>
      <c r="F1262" s="12">
        <v>109.00000000000001</v>
      </c>
      <c r="G1262" s="10" t="s">
        <v>83</v>
      </c>
      <c r="H1262" s="13"/>
      <c r="I1262" s="13"/>
      <c r="J1262" s="10"/>
    </row>
    <row r="1263" spans="1:10" x14ac:dyDescent="0.2">
      <c r="A1263" s="2" t="s">
        <v>862</v>
      </c>
      <c r="B1263" s="9">
        <v>1</v>
      </c>
      <c r="C1263" s="9">
        <v>1</v>
      </c>
      <c r="D1263" s="10" t="s">
        <v>40</v>
      </c>
      <c r="E1263" s="11" t="s">
        <v>875</v>
      </c>
      <c r="F1263" s="12">
        <v>1</v>
      </c>
      <c r="G1263" s="10" t="s">
        <v>109</v>
      </c>
      <c r="H1263" s="13"/>
      <c r="I1263" s="13"/>
      <c r="J1263" s="10"/>
    </row>
    <row r="1264" spans="1:10" ht="59.25" x14ac:dyDescent="0.2">
      <c r="A1264" s="2" t="s">
        <v>862</v>
      </c>
      <c r="B1264" s="9">
        <v>1</v>
      </c>
      <c r="C1264" s="9">
        <v>1</v>
      </c>
      <c r="D1264" s="10" t="s">
        <v>42</v>
      </c>
      <c r="E1264" s="11" t="s">
        <v>876</v>
      </c>
      <c r="F1264" s="12">
        <v>5</v>
      </c>
      <c r="G1264" s="10" t="s">
        <v>83</v>
      </c>
      <c r="H1264" s="13"/>
      <c r="I1264" s="13"/>
      <c r="J1264" s="10"/>
    </row>
    <row r="1265" spans="1:10" ht="74.25" x14ac:dyDescent="0.2">
      <c r="A1265" s="2" t="s">
        <v>862</v>
      </c>
      <c r="B1265" s="9">
        <v>1</v>
      </c>
      <c r="C1265" s="9">
        <v>1</v>
      </c>
      <c r="D1265" s="10" t="s">
        <v>44</v>
      </c>
      <c r="E1265" s="11" t="s">
        <v>877</v>
      </c>
      <c r="F1265" s="12">
        <v>2</v>
      </c>
      <c r="G1265" s="10" t="s">
        <v>83</v>
      </c>
      <c r="H1265" s="13"/>
      <c r="I1265" s="13"/>
      <c r="J1265" s="10"/>
    </row>
    <row r="1266" spans="1:10" ht="44.25" x14ac:dyDescent="0.2">
      <c r="A1266" s="2" t="s">
        <v>862</v>
      </c>
      <c r="B1266" s="9">
        <v>1</v>
      </c>
      <c r="C1266" s="9">
        <v>1</v>
      </c>
      <c r="D1266" s="10" t="s">
        <v>46</v>
      </c>
      <c r="E1266" s="11" t="s">
        <v>878</v>
      </c>
      <c r="F1266" s="12">
        <v>32</v>
      </c>
      <c r="G1266" s="10" t="s">
        <v>83</v>
      </c>
      <c r="H1266" s="13"/>
      <c r="I1266" s="13"/>
      <c r="J1266" s="10"/>
    </row>
    <row r="1267" spans="1:10" x14ac:dyDescent="0.2">
      <c r="A1267" s="2" t="s">
        <v>862</v>
      </c>
      <c r="B1267" s="9">
        <v>1</v>
      </c>
      <c r="C1267" s="9">
        <v>1</v>
      </c>
      <c r="D1267" s="10" t="s">
        <v>47</v>
      </c>
      <c r="E1267" s="11" t="s">
        <v>735</v>
      </c>
      <c r="F1267" s="12">
        <v>16</v>
      </c>
      <c r="G1267" s="10" t="s">
        <v>83</v>
      </c>
      <c r="H1267" s="13"/>
      <c r="I1267" s="13"/>
      <c r="J1267" s="10"/>
    </row>
    <row r="1268" spans="1:10" x14ac:dyDescent="0.2">
      <c r="A1268" s="2" t="s">
        <v>862</v>
      </c>
      <c r="B1268" s="9">
        <v>1</v>
      </c>
      <c r="C1268" s="9">
        <v>1</v>
      </c>
      <c r="D1268" s="10" t="s">
        <v>48</v>
      </c>
      <c r="E1268" s="11" t="s">
        <v>879</v>
      </c>
      <c r="F1268" s="12">
        <v>4</v>
      </c>
      <c r="G1268" s="10" t="s">
        <v>258</v>
      </c>
      <c r="H1268" s="13"/>
      <c r="I1268" s="13"/>
      <c r="J1268" s="10"/>
    </row>
    <row r="1269" spans="1:10" x14ac:dyDescent="0.2">
      <c r="A1269" s="2" t="s">
        <v>862</v>
      </c>
      <c r="B1269" s="9">
        <v>1</v>
      </c>
      <c r="C1269" s="9">
        <v>1</v>
      </c>
      <c r="D1269" s="10" t="s">
        <v>50</v>
      </c>
      <c r="E1269" s="11" t="s">
        <v>704</v>
      </c>
      <c r="F1269" s="12">
        <v>7.0000000000000009</v>
      </c>
      <c r="G1269" s="10" t="s">
        <v>83</v>
      </c>
      <c r="H1269" s="13"/>
      <c r="I1269" s="6"/>
      <c r="J1269" s="10"/>
    </row>
    <row r="1270" spans="1:10" ht="42.75" x14ac:dyDescent="0.2">
      <c r="A1270" s="2" t="s">
        <v>862</v>
      </c>
      <c r="B1270" s="9">
        <v>1</v>
      </c>
      <c r="C1270" s="9">
        <v>1</v>
      </c>
      <c r="D1270" s="10" t="s">
        <v>52</v>
      </c>
      <c r="E1270" s="11" t="s">
        <v>714</v>
      </c>
      <c r="F1270" s="12">
        <v>4</v>
      </c>
      <c r="G1270" s="10" t="s">
        <v>83</v>
      </c>
      <c r="H1270" s="13"/>
      <c r="I1270" s="13"/>
      <c r="J1270" s="10"/>
    </row>
    <row r="1271" spans="1:10" ht="57" x14ac:dyDescent="0.2">
      <c r="A1271" s="2" t="s">
        <v>862</v>
      </c>
      <c r="B1271" s="9">
        <v>1</v>
      </c>
      <c r="C1271" s="9">
        <v>1</v>
      </c>
      <c r="D1271" s="10" t="s">
        <v>54</v>
      </c>
      <c r="E1271" s="11" t="s">
        <v>715</v>
      </c>
      <c r="F1271" s="12">
        <v>3</v>
      </c>
      <c r="G1271" s="10" t="s">
        <v>83</v>
      </c>
      <c r="H1271" s="13"/>
      <c r="I1271" s="13"/>
      <c r="J1271" s="10"/>
    </row>
    <row r="1272" spans="1:10" x14ac:dyDescent="0.2">
      <c r="A1272" s="1" t="s">
        <v>880</v>
      </c>
      <c r="B1272" s="1"/>
      <c r="C1272" s="1"/>
      <c r="D1272" s="1"/>
      <c r="E1272" s="1"/>
      <c r="F1272" s="1"/>
      <c r="G1272" s="1"/>
      <c r="H1272" s="1" t="s">
        <v>67</v>
      </c>
      <c r="I1272" s="13">
        <f>I1250+I1251+I1252+I1253+I1254+I1255+I1256+I1257+I1258+I1259+I1260+I1262+I1263+I1264+I1265+I1266+I1267+I1268+I1270+I1271</f>
        <v>0</v>
      </c>
      <c r="J1272" s="1"/>
    </row>
    <row r="1275" spans="1:10" ht="15" x14ac:dyDescent="0.25">
      <c r="A1275" s="21" t="s">
        <v>881</v>
      </c>
      <c r="B1275" s="22"/>
      <c r="C1275" s="22"/>
      <c r="D1275" s="22"/>
      <c r="E1275" s="22"/>
      <c r="F1275" s="22"/>
      <c r="G1275" s="22"/>
      <c r="H1275" s="22"/>
      <c r="I1275" s="22"/>
      <c r="J1275" s="22"/>
    </row>
    <row r="1276" spans="1:10" ht="15" x14ac:dyDescent="0.25">
      <c r="A1276" s="21" t="s">
        <v>861</v>
      </c>
      <c r="B1276" s="22"/>
      <c r="C1276" s="22"/>
      <c r="D1276" s="22"/>
      <c r="E1276" s="22"/>
      <c r="F1276" s="22"/>
      <c r="G1276" s="22"/>
      <c r="H1276" s="22"/>
      <c r="I1276" s="22"/>
      <c r="J1276" s="22"/>
    </row>
    <row r="1278" spans="1:10" ht="15" x14ac:dyDescent="0.25">
      <c r="A1278" s="3" t="s">
        <v>2</v>
      </c>
      <c r="B1278" s="3" t="s">
        <v>3</v>
      </c>
      <c r="C1278" s="3" t="s">
        <v>4</v>
      </c>
      <c r="D1278" s="3" t="s">
        <v>5</v>
      </c>
      <c r="E1278" s="3" t="s">
        <v>6</v>
      </c>
      <c r="F1278" s="7" t="s">
        <v>7</v>
      </c>
      <c r="G1278" s="3" t="s">
        <v>8</v>
      </c>
      <c r="H1278" s="7" t="s">
        <v>9</v>
      </c>
      <c r="I1278" s="7" t="s">
        <v>10</v>
      </c>
      <c r="J1278" s="3" t="s">
        <v>11</v>
      </c>
    </row>
    <row r="1279" spans="1:10" ht="59.25" x14ac:dyDescent="0.2">
      <c r="A1279" s="2" t="s">
        <v>862</v>
      </c>
      <c r="B1279" s="9">
        <v>1</v>
      </c>
      <c r="C1279" s="9">
        <v>2</v>
      </c>
      <c r="D1279" s="10" t="s">
        <v>13</v>
      </c>
      <c r="E1279" s="11" t="s">
        <v>882</v>
      </c>
      <c r="F1279" s="12">
        <v>19</v>
      </c>
      <c r="G1279" s="10" t="s">
        <v>83</v>
      </c>
      <c r="H1279" s="13"/>
      <c r="I1279" s="13"/>
      <c r="J1279" s="10"/>
    </row>
    <row r="1280" spans="1:10" x14ac:dyDescent="0.2">
      <c r="A1280" s="2" t="s">
        <v>862</v>
      </c>
      <c r="B1280" s="9">
        <v>1</v>
      </c>
      <c r="C1280" s="9">
        <v>2</v>
      </c>
      <c r="D1280" s="10" t="s">
        <v>16</v>
      </c>
      <c r="E1280" s="11" t="s">
        <v>883</v>
      </c>
      <c r="F1280" s="12">
        <v>5</v>
      </c>
      <c r="G1280" s="10" t="s">
        <v>83</v>
      </c>
      <c r="H1280" s="13"/>
      <c r="I1280" s="13"/>
      <c r="J1280" s="10"/>
    </row>
    <row r="1281" spans="1:10" x14ac:dyDescent="0.2">
      <c r="A1281" s="2" t="s">
        <v>862</v>
      </c>
      <c r="B1281" s="9">
        <v>1</v>
      </c>
      <c r="C1281" s="9">
        <v>2</v>
      </c>
      <c r="D1281" s="10" t="s">
        <v>18</v>
      </c>
      <c r="E1281" s="11" t="s">
        <v>884</v>
      </c>
      <c r="F1281" s="12">
        <v>13</v>
      </c>
      <c r="G1281" s="10" t="s">
        <v>83</v>
      </c>
      <c r="H1281" s="13"/>
      <c r="I1281" s="13"/>
      <c r="J1281" s="10"/>
    </row>
    <row r="1282" spans="1:10" x14ac:dyDescent="0.2">
      <c r="A1282" s="2" t="s">
        <v>862</v>
      </c>
      <c r="B1282" s="9">
        <v>1</v>
      </c>
      <c r="C1282" s="9">
        <v>2</v>
      </c>
      <c r="D1282" s="10" t="s">
        <v>20</v>
      </c>
      <c r="E1282" s="11" t="s">
        <v>885</v>
      </c>
      <c r="F1282" s="12">
        <v>62</v>
      </c>
      <c r="G1282" s="10" t="s">
        <v>83</v>
      </c>
      <c r="H1282" s="13"/>
      <c r="I1282" s="13"/>
      <c r="J1282" s="10"/>
    </row>
    <row r="1283" spans="1:10" ht="44.25" x14ac:dyDescent="0.2">
      <c r="A1283" s="2" t="s">
        <v>862</v>
      </c>
      <c r="B1283" s="9">
        <v>1</v>
      </c>
      <c r="C1283" s="9">
        <v>2</v>
      </c>
      <c r="D1283" s="10" t="s">
        <v>22</v>
      </c>
      <c r="E1283" s="11" t="s">
        <v>886</v>
      </c>
      <c r="F1283" s="12">
        <v>50</v>
      </c>
      <c r="G1283" s="10" t="s">
        <v>83</v>
      </c>
      <c r="H1283" s="13"/>
      <c r="I1283" s="13"/>
      <c r="J1283" s="10"/>
    </row>
    <row r="1284" spans="1:10" x14ac:dyDescent="0.2">
      <c r="A1284" s="2" t="s">
        <v>862</v>
      </c>
      <c r="B1284" s="9">
        <v>1</v>
      </c>
      <c r="C1284" s="9">
        <v>2</v>
      </c>
      <c r="D1284" s="10" t="s">
        <v>24</v>
      </c>
      <c r="E1284" s="11" t="s">
        <v>887</v>
      </c>
      <c r="F1284" s="12">
        <v>25</v>
      </c>
      <c r="G1284" s="10" t="s">
        <v>83</v>
      </c>
      <c r="H1284" s="13"/>
      <c r="I1284" s="13"/>
      <c r="J1284" s="10"/>
    </row>
    <row r="1285" spans="1:10" ht="72.75" x14ac:dyDescent="0.2">
      <c r="A1285" s="2" t="s">
        <v>862</v>
      </c>
      <c r="B1285" s="9">
        <v>1</v>
      </c>
      <c r="C1285" s="9">
        <v>2</v>
      </c>
      <c r="D1285" s="10" t="s">
        <v>27</v>
      </c>
      <c r="E1285" s="11" t="s">
        <v>888</v>
      </c>
      <c r="F1285" s="12">
        <v>19</v>
      </c>
      <c r="G1285" s="10" t="s">
        <v>83</v>
      </c>
      <c r="H1285" s="13"/>
      <c r="I1285" s="13"/>
      <c r="J1285" s="10"/>
    </row>
    <row r="1286" spans="1:10" x14ac:dyDescent="0.2">
      <c r="A1286" s="2" t="s">
        <v>862</v>
      </c>
      <c r="B1286" s="9">
        <v>1</v>
      </c>
      <c r="C1286" s="9">
        <v>2</v>
      </c>
      <c r="D1286" s="10" t="s">
        <v>29</v>
      </c>
      <c r="E1286" s="11" t="s">
        <v>410</v>
      </c>
      <c r="F1286" s="12">
        <v>6</v>
      </c>
      <c r="G1286" s="10" t="s">
        <v>258</v>
      </c>
      <c r="H1286" s="13"/>
      <c r="I1286" s="13"/>
      <c r="J1286" s="10"/>
    </row>
    <row r="1287" spans="1:10" x14ac:dyDescent="0.2">
      <c r="A1287" s="2" t="s">
        <v>862</v>
      </c>
      <c r="B1287" s="9">
        <v>1</v>
      </c>
      <c r="C1287" s="9">
        <v>2</v>
      </c>
      <c r="D1287" s="10" t="s">
        <v>32</v>
      </c>
      <c r="E1287" s="11" t="s">
        <v>410</v>
      </c>
      <c r="F1287" s="12">
        <v>4</v>
      </c>
      <c r="G1287" s="10" t="s">
        <v>258</v>
      </c>
      <c r="H1287" s="13"/>
      <c r="I1287" s="13"/>
      <c r="J1287" s="10"/>
    </row>
    <row r="1288" spans="1:10" x14ac:dyDescent="0.2">
      <c r="A1288" s="2" t="s">
        <v>862</v>
      </c>
      <c r="B1288" s="9">
        <v>1</v>
      </c>
      <c r="C1288" s="9">
        <v>2</v>
      </c>
      <c r="D1288" s="10" t="s">
        <v>33</v>
      </c>
      <c r="E1288" s="11" t="s">
        <v>889</v>
      </c>
      <c r="F1288" s="12">
        <v>2</v>
      </c>
      <c r="G1288" s="10" t="s">
        <v>258</v>
      </c>
      <c r="H1288" s="13"/>
      <c r="I1288" s="13"/>
      <c r="J1288" s="10"/>
    </row>
    <row r="1289" spans="1:10" x14ac:dyDescent="0.2">
      <c r="A1289" s="1" t="s">
        <v>890</v>
      </c>
      <c r="B1289" s="1"/>
      <c r="C1289" s="1"/>
      <c r="D1289" s="1"/>
      <c r="E1289" s="1"/>
      <c r="F1289" s="1"/>
      <c r="G1289" s="1"/>
      <c r="H1289" s="1" t="s">
        <v>67</v>
      </c>
      <c r="I1289" s="13">
        <f>I1279+I1280+I1281+I1282+I1283+I1284+I1285+I1286+I1287+I1288</f>
        <v>0</v>
      </c>
      <c r="J1289" s="1"/>
    </row>
    <row r="1292" spans="1:10" ht="15" x14ac:dyDescent="0.25">
      <c r="A1292" s="21" t="s">
        <v>891</v>
      </c>
      <c r="B1292" s="22"/>
      <c r="C1292" s="22"/>
      <c r="D1292" s="22"/>
      <c r="E1292" s="22"/>
      <c r="F1292" s="22"/>
      <c r="G1292" s="22"/>
      <c r="H1292" s="22"/>
      <c r="I1292" s="22"/>
      <c r="J1292" s="22"/>
    </row>
    <row r="1293" spans="1:10" ht="15" x14ac:dyDescent="0.25">
      <c r="A1293" s="21" t="s">
        <v>861</v>
      </c>
      <c r="B1293" s="22"/>
      <c r="C1293" s="22"/>
      <c r="D1293" s="22"/>
      <c r="E1293" s="22"/>
      <c r="F1293" s="22"/>
      <c r="G1293" s="22"/>
      <c r="H1293" s="22"/>
      <c r="I1293" s="22"/>
      <c r="J1293" s="22"/>
    </row>
    <row r="1295" spans="1:10" ht="15" x14ac:dyDescent="0.25">
      <c r="A1295" s="3" t="s">
        <v>2</v>
      </c>
      <c r="B1295" s="3" t="s">
        <v>3</v>
      </c>
      <c r="C1295" s="3" t="s">
        <v>4</v>
      </c>
      <c r="D1295" s="3" t="s">
        <v>5</v>
      </c>
      <c r="E1295" s="3" t="s">
        <v>6</v>
      </c>
      <c r="F1295" s="7" t="s">
        <v>7</v>
      </c>
      <c r="G1295" s="3" t="s">
        <v>8</v>
      </c>
      <c r="H1295" s="7" t="s">
        <v>9</v>
      </c>
      <c r="I1295" s="7" t="s">
        <v>10</v>
      </c>
      <c r="J1295" s="3" t="s">
        <v>11</v>
      </c>
    </row>
    <row r="1296" spans="1:10" ht="88.5" x14ac:dyDescent="0.2">
      <c r="A1296" s="2" t="s">
        <v>862</v>
      </c>
      <c r="B1296" s="9">
        <v>1</v>
      </c>
      <c r="C1296" s="9">
        <v>3</v>
      </c>
      <c r="D1296" s="10" t="s">
        <v>13</v>
      </c>
      <c r="E1296" s="11" t="s">
        <v>892</v>
      </c>
      <c r="F1296" s="12">
        <v>4940</v>
      </c>
      <c r="G1296" s="10" t="s">
        <v>109</v>
      </c>
      <c r="H1296" s="13"/>
      <c r="I1296" s="13"/>
      <c r="J1296" s="10"/>
    </row>
    <row r="1297" spans="1:10" x14ac:dyDescent="0.2">
      <c r="A1297" s="2" t="s">
        <v>862</v>
      </c>
      <c r="B1297" s="9">
        <v>1</v>
      </c>
      <c r="C1297" s="9">
        <v>3</v>
      </c>
      <c r="D1297" s="10" t="s">
        <v>16</v>
      </c>
      <c r="E1297" s="11" t="s">
        <v>893</v>
      </c>
      <c r="F1297" s="12">
        <v>136</v>
      </c>
      <c r="G1297" s="10" t="s">
        <v>83</v>
      </c>
      <c r="H1297" s="13"/>
      <c r="I1297" s="13"/>
      <c r="J1297" s="10"/>
    </row>
    <row r="1298" spans="1:10" ht="193.5" x14ac:dyDescent="0.2">
      <c r="A1298" s="2" t="s">
        <v>862</v>
      </c>
      <c r="B1298" s="9">
        <v>1</v>
      </c>
      <c r="C1298" s="9">
        <v>3</v>
      </c>
      <c r="D1298" s="10" t="s">
        <v>18</v>
      </c>
      <c r="E1298" s="11" t="s">
        <v>894</v>
      </c>
      <c r="F1298" s="12">
        <v>65</v>
      </c>
      <c r="G1298" s="10" t="s">
        <v>109</v>
      </c>
      <c r="H1298" s="13"/>
      <c r="I1298" s="13"/>
      <c r="J1298" s="10"/>
    </row>
    <row r="1299" spans="1:10" ht="28.5" x14ac:dyDescent="0.2">
      <c r="A1299" s="2" t="s">
        <v>862</v>
      </c>
      <c r="B1299" s="9">
        <v>1</v>
      </c>
      <c r="C1299" s="9">
        <v>3</v>
      </c>
      <c r="D1299" s="10" t="s">
        <v>20</v>
      </c>
      <c r="E1299" s="11" t="s">
        <v>895</v>
      </c>
      <c r="F1299" s="12">
        <v>11</v>
      </c>
      <c r="G1299" s="10" t="s">
        <v>83</v>
      </c>
      <c r="H1299" s="13"/>
      <c r="I1299" s="13"/>
      <c r="J1299" s="10"/>
    </row>
    <row r="1300" spans="1:10" ht="163.5" x14ac:dyDescent="0.2">
      <c r="A1300" s="2" t="s">
        <v>862</v>
      </c>
      <c r="B1300" s="9">
        <v>1</v>
      </c>
      <c r="C1300" s="9">
        <v>3</v>
      </c>
      <c r="D1300" s="10" t="s">
        <v>22</v>
      </c>
      <c r="E1300" s="11" t="s">
        <v>896</v>
      </c>
      <c r="F1300" s="12">
        <v>134</v>
      </c>
      <c r="G1300" s="10" t="s">
        <v>109</v>
      </c>
      <c r="H1300" s="13"/>
      <c r="I1300" s="13"/>
      <c r="J1300" s="10"/>
    </row>
    <row r="1301" spans="1:10" x14ac:dyDescent="0.2">
      <c r="A1301" s="2" t="s">
        <v>862</v>
      </c>
      <c r="B1301" s="9">
        <v>1</v>
      </c>
      <c r="C1301" s="9">
        <v>3</v>
      </c>
      <c r="D1301" s="10" t="s">
        <v>24</v>
      </c>
      <c r="E1301" s="11" t="s">
        <v>897</v>
      </c>
      <c r="F1301" s="12">
        <v>13</v>
      </c>
      <c r="G1301" s="10" t="s">
        <v>83</v>
      </c>
      <c r="H1301" s="13"/>
      <c r="I1301" s="13"/>
      <c r="J1301" s="10"/>
    </row>
    <row r="1302" spans="1:10" x14ac:dyDescent="0.2">
      <c r="A1302" s="2" t="s">
        <v>862</v>
      </c>
      <c r="B1302" s="9">
        <v>1</v>
      </c>
      <c r="C1302" s="9">
        <v>3</v>
      </c>
      <c r="D1302" s="10" t="s">
        <v>27</v>
      </c>
      <c r="E1302" s="11" t="s">
        <v>898</v>
      </c>
      <c r="F1302" s="12">
        <v>134</v>
      </c>
      <c r="G1302" s="10" t="s">
        <v>109</v>
      </c>
      <c r="H1302" s="13"/>
      <c r="I1302" s="13"/>
      <c r="J1302" s="10"/>
    </row>
    <row r="1303" spans="1:10" x14ac:dyDescent="0.2">
      <c r="A1303" s="2" t="s">
        <v>862</v>
      </c>
      <c r="B1303" s="9">
        <v>1</v>
      </c>
      <c r="C1303" s="9">
        <v>3</v>
      </c>
      <c r="D1303" s="10" t="s">
        <v>29</v>
      </c>
      <c r="E1303" s="11" t="s">
        <v>899</v>
      </c>
      <c r="F1303" s="12">
        <v>134</v>
      </c>
      <c r="G1303" s="10" t="s">
        <v>109</v>
      </c>
      <c r="H1303" s="13"/>
      <c r="I1303" s="13"/>
      <c r="J1303" s="10"/>
    </row>
    <row r="1304" spans="1:10" ht="149.25" x14ac:dyDescent="0.2">
      <c r="A1304" s="2" t="s">
        <v>862</v>
      </c>
      <c r="B1304" s="9">
        <v>1</v>
      </c>
      <c r="C1304" s="9">
        <v>3</v>
      </c>
      <c r="D1304" s="10" t="s">
        <v>32</v>
      </c>
      <c r="E1304" s="11" t="s">
        <v>900</v>
      </c>
      <c r="F1304" s="12">
        <v>2</v>
      </c>
      <c r="G1304" s="10" t="s">
        <v>109</v>
      </c>
      <c r="H1304" s="13"/>
      <c r="I1304" s="13"/>
      <c r="J1304" s="10"/>
    </row>
    <row r="1305" spans="1:10" ht="44.25" x14ac:dyDescent="0.2">
      <c r="A1305" s="2" t="s">
        <v>862</v>
      </c>
      <c r="B1305" s="9">
        <v>1</v>
      </c>
      <c r="C1305" s="9">
        <v>3</v>
      </c>
      <c r="D1305" s="10" t="s">
        <v>33</v>
      </c>
      <c r="E1305" s="11" t="s">
        <v>901</v>
      </c>
      <c r="F1305" s="12">
        <v>4</v>
      </c>
      <c r="G1305" s="10" t="s">
        <v>83</v>
      </c>
      <c r="H1305" s="13"/>
      <c r="I1305" s="13"/>
      <c r="J1305" s="10"/>
    </row>
    <row r="1306" spans="1:10" x14ac:dyDescent="0.2">
      <c r="A1306" s="2" t="s">
        <v>862</v>
      </c>
      <c r="B1306" s="9">
        <v>1</v>
      </c>
      <c r="C1306" s="9">
        <v>3</v>
      </c>
      <c r="D1306" s="10" t="s">
        <v>34</v>
      </c>
      <c r="E1306" s="11" t="s">
        <v>902</v>
      </c>
      <c r="F1306" s="12">
        <v>84</v>
      </c>
      <c r="G1306" s="10" t="s">
        <v>83</v>
      </c>
      <c r="H1306" s="13"/>
      <c r="I1306" s="13"/>
      <c r="J1306" s="10"/>
    </row>
    <row r="1307" spans="1:10" x14ac:dyDescent="0.2">
      <c r="A1307" s="2" t="s">
        <v>862</v>
      </c>
      <c r="B1307" s="9">
        <v>1</v>
      </c>
      <c r="C1307" s="9">
        <v>3</v>
      </c>
      <c r="D1307" s="10" t="s">
        <v>35</v>
      </c>
      <c r="E1307" s="11" t="s">
        <v>903</v>
      </c>
      <c r="F1307" s="12">
        <v>17</v>
      </c>
      <c r="G1307" s="10" t="s">
        <v>83</v>
      </c>
      <c r="H1307" s="13"/>
      <c r="I1307" s="13"/>
      <c r="J1307" s="10"/>
    </row>
    <row r="1308" spans="1:10" ht="104.25" x14ac:dyDescent="0.2">
      <c r="A1308" s="2" t="s">
        <v>862</v>
      </c>
      <c r="B1308" s="9">
        <v>1</v>
      </c>
      <c r="C1308" s="9">
        <v>3</v>
      </c>
      <c r="D1308" s="10" t="s">
        <v>36</v>
      </c>
      <c r="E1308" s="11" t="s">
        <v>904</v>
      </c>
      <c r="F1308" s="12">
        <v>3611.9999999999995</v>
      </c>
      <c r="G1308" s="10" t="s">
        <v>109</v>
      </c>
      <c r="H1308" s="13"/>
      <c r="I1308" s="13"/>
      <c r="J1308" s="10"/>
    </row>
    <row r="1309" spans="1:10" x14ac:dyDescent="0.2">
      <c r="A1309" s="2" t="s">
        <v>862</v>
      </c>
      <c r="B1309" s="9">
        <v>1</v>
      </c>
      <c r="C1309" s="9">
        <v>3</v>
      </c>
      <c r="D1309" s="10" t="s">
        <v>40</v>
      </c>
      <c r="E1309" s="11" t="s">
        <v>905</v>
      </c>
      <c r="F1309" s="12">
        <v>1189</v>
      </c>
      <c r="G1309" s="10" t="s">
        <v>83</v>
      </c>
      <c r="H1309" s="13"/>
      <c r="I1309" s="13"/>
      <c r="J1309" s="10"/>
    </row>
    <row r="1310" spans="1:10" ht="59.25" x14ac:dyDescent="0.2">
      <c r="A1310" s="2" t="s">
        <v>862</v>
      </c>
      <c r="B1310" s="9">
        <v>1</v>
      </c>
      <c r="C1310" s="9">
        <v>3</v>
      </c>
      <c r="D1310" s="10" t="s">
        <v>42</v>
      </c>
      <c r="E1310" s="11" t="s">
        <v>906</v>
      </c>
      <c r="F1310" s="12">
        <v>382</v>
      </c>
      <c r="G1310" s="10" t="s">
        <v>109</v>
      </c>
      <c r="H1310" s="13"/>
      <c r="I1310" s="13"/>
      <c r="J1310" s="10"/>
    </row>
    <row r="1311" spans="1:10" ht="59.25" x14ac:dyDescent="0.2">
      <c r="A1311" s="2" t="s">
        <v>862</v>
      </c>
      <c r="B1311" s="9">
        <v>1</v>
      </c>
      <c r="C1311" s="9">
        <v>3</v>
      </c>
      <c r="D1311" s="10" t="s">
        <v>44</v>
      </c>
      <c r="E1311" s="11" t="s">
        <v>907</v>
      </c>
      <c r="F1311" s="12">
        <v>147</v>
      </c>
      <c r="G1311" s="10" t="s">
        <v>109</v>
      </c>
      <c r="H1311" s="13"/>
      <c r="I1311" s="13"/>
      <c r="J1311" s="10"/>
    </row>
    <row r="1312" spans="1:10" x14ac:dyDescent="0.2">
      <c r="A1312" s="2" t="s">
        <v>862</v>
      </c>
      <c r="B1312" s="9">
        <v>1</v>
      </c>
      <c r="C1312" s="9">
        <v>3</v>
      </c>
      <c r="D1312" s="10" t="s">
        <v>46</v>
      </c>
      <c r="E1312" s="11" t="s">
        <v>908</v>
      </c>
      <c r="F1312" s="12">
        <v>22</v>
      </c>
      <c r="G1312" s="10" t="s">
        <v>83</v>
      </c>
      <c r="H1312" s="13"/>
      <c r="I1312" s="13"/>
      <c r="J1312" s="10"/>
    </row>
    <row r="1313" spans="1:10" x14ac:dyDescent="0.2">
      <c r="A1313" s="1" t="s">
        <v>909</v>
      </c>
      <c r="B1313" s="1"/>
      <c r="C1313" s="1"/>
      <c r="D1313" s="1"/>
      <c r="E1313" s="1"/>
      <c r="F1313" s="1"/>
      <c r="G1313" s="1"/>
      <c r="H1313" s="1" t="s">
        <v>67</v>
      </c>
      <c r="I1313" s="13">
        <f>I1296+I1297+I1298+I1299+I1300+I1301+I1302+I1303+I1304+I1305+I1306+I1307+I1308+I1309+I1310+I1311+I1312</f>
        <v>0</v>
      </c>
      <c r="J1313" s="1"/>
    </row>
    <row r="1316" spans="1:10" ht="15" x14ac:dyDescent="0.25">
      <c r="A1316" s="21" t="s">
        <v>910</v>
      </c>
      <c r="B1316" s="22"/>
      <c r="C1316" s="22"/>
      <c r="D1316" s="22"/>
      <c r="E1316" s="22"/>
      <c r="F1316" s="22"/>
      <c r="G1316" s="22"/>
      <c r="H1316" s="22"/>
      <c r="I1316" s="22"/>
      <c r="J1316" s="22"/>
    </row>
    <row r="1317" spans="1:10" ht="15" x14ac:dyDescent="0.25">
      <c r="A1317" s="21" t="s">
        <v>861</v>
      </c>
      <c r="B1317" s="22"/>
      <c r="C1317" s="22"/>
      <c r="D1317" s="22"/>
      <c r="E1317" s="22"/>
      <c r="F1317" s="22"/>
      <c r="G1317" s="22"/>
      <c r="H1317" s="22"/>
      <c r="I1317" s="22"/>
      <c r="J1317" s="22"/>
    </row>
    <row r="1319" spans="1:10" ht="15" x14ac:dyDescent="0.25">
      <c r="A1319" s="3" t="s">
        <v>2</v>
      </c>
      <c r="B1319" s="3" t="s">
        <v>3</v>
      </c>
      <c r="C1319" s="3" t="s">
        <v>4</v>
      </c>
      <c r="D1319" s="3" t="s">
        <v>5</v>
      </c>
      <c r="E1319" s="3" t="s">
        <v>6</v>
      </c>
      <c r="F1319" s="7" t="s">
        <v>7</v>
      </c>
      <c r="G1319" s="3" t="s">
        <v>8</v>
      </c>
      <c r="H1319" s="7" t="s">
        <v>9</v>
      </c>
      <c r="I1319" s="7" t="s">
        <v>10</v>
      </c>
      <c r="J1319" s="3" t="s">
        <v>11</v>
      </c>
    </row>
    <row r="1320" spans="1:10" ht="44.25" x14ac:dyDescent="0.2">
      <c r="A1320" s="2" t="s">
        <v>862</v>
      </c>
      <c r="B1320" s="9">
        <v>1</v>
      </c>
      <c r="C1320" s="9">
        <v>4</v>
      </c>
      <c r="D1320" s="10" t="s">
        <v>13</v>
      </c>
      <c r="E1320" s="11" t="s">
        <v>781</v>
      </c>
      <c r="F1320" s="12">
        <v>1</v>
      </c>
      <c r="G1320" s="10" t="s">
        <v>127</v>
      </c>
      <c r="H1320" s="13"/>
      <c r="I1320" s="13"/>
      <c r="J1320" s="10"/>
    </row>
    <row r="1321" spans="1:10" x14ac:dyDescent="0.2">
      <c r="A1321" s="2" t="s">
        <v>862</v>
      </c>
      <c r="B1321" s="9">
        <v>1</v>
      </c>
      <c r="C1321" s="9">
        <v>4</v>
      </c>
      <c r="D1321" s="10" t="s">
        <v>16</v>
      </c>
      <c r="E1321" s="11" t="s">
        <v>782</v>
      </c>
      <c r="F1321" s="12">
        <v>1</v>
      </c>
      <c r="G1321" s="10" t="s">
        <v>127</v>
      </c>
      <c r="H1321" s="13"/>
      <c r="I1321" s="13"/>
      <c r="J1321" s="10"/>
    </row>
    <row r="1322" spans="1:10" x14ac:dyDescent="0.2">
      <c r="A1322" s="2" t="s">
        <v>862</v>
      </c>
      <c r="B1322" s="9">
        <v>1</v>
      </c>
      <c r="C1322" s="9">
        <v>4</v>
      </c>
      <c r="D1322" s="10" t="s">
        <v>18</v>
      </c>
      <c r="E1322" s="11" t="s">
        <v>911</v>
      </c>
      <c r="F1322" s="12">
        <v>1</v>
      </c>
      <c r="G1322" s="10" t="s">
        <v>127</v>
      </c>
      <c r="H1322" s="13"/>
      <c r="I1322" s="13"/>
      <c r="J1322" s="10"/>
    </row>
    <row r="1323" spans="1:10" x14ac:dyDescent="0.2">
      <c r="A1323" s="2" t="s">
        <v>862</v>
      </c>
      <c r="B1323" s="9">
        <v>1</v>
      </c>
      <c r="C1323" s="9">
        <v>4</v>
      </c>
      <c r="D1323" s="10" t="s">
        <v>20</v>
      </c>
      <c r="E1323" s="11" t="s">
        <v>790</v>
      </c>
      <c r="F1323" s="12">
        <v>1</v>
      </c>
      <c r="G1323" s="10" t="s">
        <v>127</v>
      </c>
      <c r="H1323" s="13"/>
      <c r="I1323" s="13"/>
      <c r="J1323" s="10"/>
    </row>
    <row r="1324" spans="1:10" x14ac:dyDescent="0.2">
      <c r="A1324" s="2" t="s">
        <v>862</v>
      </c>
      <c r="B1324" s="9">
        <v>1</v>
      </c>
      <c r="C1324" s="9">
        <v>4</v>
      </c>
      <c r="D1324" s="10" t="s">
        <v>22</v>
      </c>
      <c r="E1324" s="11" t="s">
        <v>912</v>
      </c>
      <c r="F1324" s="12">
        <v>314.00000000000006</v>
      </c>
      <c r="G1324" s="10" t="s">
        <v>83</v>
      </c>
      <c r="H1324" s="13"/>
      <c r="I1324" s="13"/>
      <c r="J1324" s="10"/>
    </row>
    <row r="1325" spans="1:10" x14ac:dyDescent="0.2">
      <c r="A1325" s="2" t="s">
        <v>862</v>
      </c>
      <c r="B1325" s="9">
        <v>1</v>
      </c>
      <c r="C1325" s="9">
        <v>4</v>
      </c>
      <c r="D1325" s="10" t="s">
        <v>24</v>
      </c>
      <c r="E1325" s="11" t="s">
        <v>913</v>
      </c>
      <c r="F1325" s="12">
        <v>288</v>
      </c>
      <c r="G1325" s="10" t="s">
        <v>83</v>
      </c>
      <c r="H1325" s="13"/>
      <c r="I1325" s="13"/>
      <c r="J1325" s="10"/>
    </row>
    <row r="1326" spans="1:10" x14ac:dyDescent="0.2">
      <c r="A1326" s="1" t="s">
        <v>914</v>
      </c>
      <c r="B1326" s="1"/>
      <c r="C1326" s="1"/>
      <c r="D1326" s="1"/>
      <c r="E1326" s="1"/>
      <c r="F1326" s="1"/>
      <c r="G1326" s="1"/>
      <c r="H1326" s="1" t="s">
        <v>67</v>
      </c>
      <c r="I1326" s="13">
        <f>I1320+I1321+I1322+I1323+I1324+I1325</f>
        <v>0</v>
      </c>
      <c r="J1326" s="1"/>
    </row>
    <row r="1334" spans="1:9" ht="15" x14ac:dyDescent="0.25">
      <c r="A1334" s="3" t="s">
        <v>89</v>
      </c>
      <c r="B1334" s="14"/>
      <c r="C1334" s="14"/>
      <c r="D1334" s="14"/>
      <c r="E1334" s="14"/>
      <c r="F1334" s="14"/>
      <c r="G1334" s="14"/>
      <c r="H1334" s="14"/>
      <c r="I1334" s="7" t="s">
        <v>90</v>
      </c>
    </row>
    <row r="1335" spans="1:9" x14ac:dyDescent="0.2">
      <c r="A1335" s="15" t="s">
        <v>915</v>
      </c>
      <c r="I1335" s="16">
        <f>I1272</f>
        <v>0</v>
      </c>
    </row>
    <row r="1336" spans="1:9" x14ac:dyDescent="0.2">
      <c r="A1336" s="15" t="s">
        <v>916</v>
      </c>
      <c r="I1336" s="16">
        <f>I1289</f>
        <v>0</v>
      </c>
    </row>
    <row r="1337" spans="1:9" x14ac:dyDescent="0.2">
      <c r="A1337" s="15" t="s">
        <v>917</v>
      </c>
      <c r="I1337" s="16">
        <f>I1313</f>
        <v>0</v>
      </c>
    </row>
    <row r="1338" spans="1:9" x14ac:dyDescent="0.2">
      <c r="A1338" s="15" t="s">
        <v>918</v>
      </c>
      <c r="I1338" s="16">
        <f>I1326</f>
        <v>0</v>
      </c>
    </row>
    <row r="1339" spans="1:9" x14ac:dyDescent="0.2">
      <c r="A1339" s="15"/>
      <c r="I1339" s="15"/>
    </row>
    <row r="1340" spans="1:9" x14ac:dyDescent="0.2">
      <c r="A1340" s="17"/>
      <c r="B1340" s="18"/>
      <c r="C1340" s="18"/>
      <c r="D1340" s="18"/>
      <c r="E1340" s="18"/>
      <c r="F1340" s="18"/>
      <c r="G1340" s="18"/>
      <c r="H1340" s="18"/>
      <c r="I1340" s="17"/>
    </row>
    <row r="1341" spans="1:9" x14ac:dyDescent="0.2">
      <c r="H1341" s="4" t="s">
        <v>95</v>
      </c>
      <c r="I1341" s="13">
        <f>SUM(I1335:I1340)</f>
        <v>0</v>
      </c>
    </row>
    <row r="1345" spans="1:10" ht="15" x14ac:dyDescent="0.25">
      <c r="A1345" s="21" t="s">
        <v>919</v>
      </c>
      <c r="B1345" s="22"/>
      <c r="C1345" s="22"/>
      <c r="D1345" s="22"/>
      <c r="E1345" s="22"/>
      <c r="F1345" s="22"/>
      <c r="G1345" s="22"/>
      <c r="H1345" s="22"/>
      <c r="I1345" s="22"/>
      <c r="J1345" s="22"/>
    </row>
    <row r="1346" spans="1:10" ht="15" x14ac:dyDescent="0.25">
      <c r="A1346" s="21" t="s">
        <v>920</v>
      </c>
      <c r="B1346" s="22"/>
      <c r="C1346" s="22"/>
      <c r="D1346" s="22"/>
      <c r="E1346" s="22"/>
      <c r="F1346" s="22"/>
      <c r="G1346" s="22"/>
      <c r="H1346" s="22"/>
      <c r="I1346" s="22"/>
      <c r="J1346" s="22"/>
    </row>
    <row r="1348" spans="1:10" ht="15" x14ac:dyDescent="0.25">
      <c r="A1348" s="3" t="s">
        <v>2</v>
      </c>
      <c r="B1348" s="3" t="s">
        <v>3</v>
      </c>
      <c r="C1348" s="3" t="s">
        <v>4</v>
      </c>
      <c r="D1348" s="3" t="s">
        <v>5</v>
      </c>
      <c r="E1348" s="3" t="s">
        <v>6</v>
      </c>
      <c r="F1348" s="7" t="s">
        <v>7</v>
      </c>
      <c r="G1348" s="3" t="s">
        <v>8</v>
      </c>
      <c r="H1348" s="7" t="s">
        <v>9</v>
      </c>
      <c r="I1348" s="7" t="s">
        <v>10</v>
      </c>
      <c r="J1348" s="3" t="s">
        <v>11</v>
      </c>
    </row>
    <row r="1349" spans="1:10" ht="194.25" x14ac:dyDescent="0.2">
      <c r="A1349" s="2" t="s">
        <v>921</v>
      </c>
      <c r="B1349" s="9">
        <v>1</v>
      </c>
      <c r="C1349" s="9">
        <v>1</v>
      </c>
      <c r="D1349" s="10" t="s">
        <v>13</v>
      </c>
      <c r="E1349" s="11" t="s">
        <v>922</v>
      </c>
      <c r="F1349" s="12">
        <v>24</v>
      </c>
      <c r="G1349" s="10" t="s">
        <v>109</v>
      </c>
      <c r="H1349" s="13"/>
      <c r="I1349" s="13"/>
      <c r="J1349" s="10"/>
    </row>
    <row r="1350" spans="1:10" ht="59.25" x14ac:dyDescent="0.2">
      <c r="A1350" s="2" t="s">
        <v>921</v>
      </c>
      <c r="B1350" s="9">
        <v>1</v>
      </c>
      <c r="C1350" s="9">
        <v>1</v>
      </c>
      <c r="D1350" s="10" t="s">
        <v>16</v>
      </c>
      <c r="E1350" s="11" t="s">
        <v>923</v>
      </c>
      <c r="F1350" s="12">
        <v>30</v>
      </c>
      <c r="G1350" s="10" t="s">
        <v>109</v>
      </c>
      <c r="H1350" s="13"/>
      <c r="I1350" s="6"/>
      <c r="J1350" s="10"/>
    </row>
    <row r="1351" spans="1:10" ht="59.25" x14ac:dyDescent="0.2">
      <c r="A1351" s="2" t="s">
        <v>921</v>
      </c>
      <c r="B1351" s="9">
        <v>1</v>
      </c>
      <c r="C1351" s="9">
        <v>1</v>
      </c>
      <c r="D1351" s="10" t="s">
        <v>18</v>
      </c>
      <c r="E1351" s="11" t="s">
        <v>924</v>
      </c>
      <c r="F1351" s="12">
        <v>20</v>
      </c>
      <c r="G1351" s="10" t="s">
        <v>109</v>
      </c>
      <c r="H1351" s="13"/>
      <c r="I1351" s="13"/>
      <c r="J1351" s="10"/>
    </row>
    <row r="1352" spans="1:10" ht="44.25" x14ac:dyDescent="0.2">
      <c r="A1352" s="2" t="s">
        <v>921</v>
      </c>
      <c r="B1352" s="9">
        <v>1</v>
      </c>
      <c r="C1352" s="9">
        <v>1</v>
      </c>
      <c r="D1352" s="10" t="s">
        <v>20</v>
      </c>
      <c r="E1352" s="11" t="s">
        <v>925</v>
      </c>
      <c r="F1352" s="12">
        <v>35</v>
      </c>
      <c r="G1352" s="10" t="s">
        <v>109</v>
      </c>
      <c r="H1352" s="13"/>
      <c r="I1352" s="13"/>
      <c r="J1352" s="10"/>
    </row>
    <row r="1353" spans="1:10" ht="44.25" x14ac:dyDescent="0.2">
      <c r="A1353" s="2" t="s">
        <v>921</v>
      </c>
      <c r="B1353" s="9">
        <v>1</v>
      </c>
      <c r="C1353" s="9">
        <v>1</v>
      </c>
      <c r="D1353" s="10" t="s">
        <v>22</v>
      </c>
      <c r="E1353" s="11" t="s">
        <v>926</v>
      </c>
      <c r="F1353" s="12">
        <v>50</v>
      </c>
      <c r="G1353" s="10" t="s">
        <v>109</v>
      </c>
      <c r="H1353" s="13"/>
      <c r="I1353" s="13"/>
      <c r="J1353" s="10"/>
    </row>
    <row r="1354" spans="1:10" ht="59.25" x14ac:dyDescent="0.2">
      <c r="A1354" s="2" t="s">
        <v>921</v>
      </c>
      <c r="B1354" s="9">
        <v>1</v>
      </c>
      <c r="C1354" s="9">
        <v>1</v>
      </c>
      <c r="D1354" s="10" t="s">
        <v>24</v>
      </c>
      <c r="E1354" s="11" t="s">
        <v>927</v>
      </c>
      <c r="F1354" s="12">
        <v>65</v>
      </c>
      <c r="G1354" s="10" t="s">
        <v>109</v>
      </c>
      <c r="H1354" s="13"/>
      <c r="I1354" s="13"/>
      <c r="J1354" s="10"/>
    </row>
    <row r="1355" spans="1:10" x14ac:dyDescent="0.2">
      <c r="A1355" s="1" t="s">
        <v>928</v>
      </c>
      <c r="B1355" s="1"/>
      <c r="C1355" s="1"/>
      <c r="D1355" s="1"/>
      <c r="E1355" s="1"/>
      <c r="F1355" s="1"/>
      <c r="G1355" s="1"/>
      <c r="H1355" s="1" t="s">
        <v>67</v>
      </c>
      <c r="I1355" s="13">
        <f>I1349+I1351+I1352+I1353+I1354</f>
        <v>0</v>
      </c>
      <c r="J1355" s="1"/>
    </row>
    <row r="1358" spans="1:10" ht="15" x14ac:dyDescent="0.25">
      <c r="A1358" s="21" t="s">
        <v>929</v>
      </c>
      <c r="B1358" s="22"/>
      <c r="C1358" s="22"/>
      <c r="D1358" s="22"/>
      <c r="E1358" s="22"/>
      <c r="F1358" s="22"/>
      <c r="G1358" s="22"/>
      <c r="H1358" s="22"/>
      <c r="I1358" s="22"/>
      <c r="J1358" s="22"/>
    </row>
    <row r="1359" spans="1:10" ht="15" x14ac:dyDescent="0.25">
      <c r="A1359" s="21" t="s">
        <v>920</v>
      </c>
      <c r="B1359" s="22"/>
      <c r="C1359" s="22"/>
      <c r="D1359" s="22"/>
      <c r="E1359" s="22"/>
      <c r="F1359" s="22"/>
      <c r="G1359" s="22"/>
      <c r="H1359" s="22"/>
      <c r="I1359" s="22"/>
      <c r="J1359" s="22"/>
    </row>
    <row r="1361" spans="1:10" ht="15" x14ac:dyDescent="0.25">
      <c r="A1361" s="3" t="s">
        <v>2</v>
      </c>
      <c r="B1361" s="3" t="s">
        <v>3</v>
      </c>
      <c r="C1361" s="3" t="s">
        <v>4</v>
      </c>
      <c r="D1361" s="3" t="s">
        <v>5</v>
      </c>
      <c r="E1361" s="3" t="s">
        <v>6</v>
      </c>
      <c r="F1361" s="7" t="s">
        <v>7</v>
      </c>
      <c r="G1361" s="3" t="s">
        <v>8</v>
      </c>
      <c r="H1361" s="7" t="s">
        <v>9</v>
      </c>
      <c r="I1361" s="7" t="s">
        <v>10</v>
      </c>
      <c r="J1361" s="3" t="s">
        <v>11</v>
      </c>
    </row>
    <row r="1362" spans="1:10" ht="74.25" x14ac:dyDescent="0.2">
      <c r="A1362" s="2" t="s">
        <v>921</v>
      </c>
      <c r="B1362" s="9">
        <v>1</v>
      </c>
      <c r="C1362" s="9">
        <v>2</v>
      </c>
      <c r="D1362" s="10" t="s">
        <v>13</v>
      </c>
      <c r="E1362" s="11" t="s">
        <v>930</v>
      </c>
      <c r="F1362" s="12">
        <v>3181</v>
      </c>
      <c r="G1362" s="10" t="s">
        <v>109</v>
      </c>
      <c r="H1362" s="13"/>
      <c r="I1362" s="13"/>
      <c r="J1362" s="10"/>
    </row>
    <row r="1363" spans="1:10" x14ac:dyDescent="0.2">
      <c r="A1363" s="2" t="s">
        <v>921</v>
      </c>
      <c r="B1363" s="9">
        <v>1</v>
      </c>
      <c r="C1363" s="9">
        <v>2</v>
      </c>
      <c r="D1363" s="10" t="s">
        <v>16</v>
      </c>
      <c r="E1363" s="11" t="s">
        <v>931</v>
      </c>
      <c r="F1363" s="12">
        <v>67</v>
      </c>
      <c r="G1363" s="10" t="s">
        <v>109</v>
      </c>
      <c r="H1363" s="13"/>
      <c r="I1363" s="13"/>
      <c r="J1363" s="10"/>
    </row>
    <row r="1364" spans="1:10" ht="28.5" x14ac:dyDescent="0.2">
      <c r="A1364" s="2" t="s">
        <v>921</v>
      </c>
      <c r="B1364" s="9">
        <v>1</v>
      </c>
      <c r="C1364" s="9">
        <v>2</v>
      </c>
      <c r="D1364" s="10" t="s">
        <v>18</v>
      </c>
      <c r="E1364" s="11" t="s">
        <v>932</v>
      </c>
      <c r="F1364" s="12">
        <v>136</v>
      </c>
      <c r="G1364" s="10" t="s">
        <v>83</v>
      </c>
      <c r="H1364" s="13"/>
      <c r="I1364" s="13"/>
      <c r="J1364" s="10"/>
    </row>
    <row r="1365" spans="1:10" ht="28.5" x14ac:dyDescent="0.2">
      <c r="A1365" s="2" t="s">
        <v>921</v>
      </c>
      <c r="B1365" s="9">
        <v>1</v>
      </c>
      <c r="C1365" s="9">
        <v>2</v>
      </c>
      <c r="D1365" s="10" t="s">
        <v>20</v>
      </c>
      <c r="E1365" s="11" t="s">
        <v>933</v>
      </c>
      <c r="F1365" s="12">
        <v>573</v>
      </c>
      <c r="G1365" s="10" t="s">
        <v>258</v>
      </c>
      <c r="H1365" s="13"/>
      <c r="I1365" s="13"/>
      <c r="J1365" s="10"/>
    </row>
    <row r="1366" spans="1:10" ht="42.75" x14ac:dyDescent="0.2">
      <c r="A1366" s="2" t="s">
        <v>921</v>
      </c>
      <c r="B1366" s="9">
        <v>1</v>
      </c>
      <c r="C1366" s="9">
        <v>2</v>
      </c>
      <c r="D1366" s="10" t="s">
        <v>22</v>
      </c>
      <c r="E1366" s="11" t="s">
        <v>934</v>
      </c>
      <c r="F1366" s="12">
        <v>1066</v>
      </c>
      <c r="G1366" s="10" t="s">
        <v>83</v>
      </c>
      <c r="H1366" s="13"/>
      <c r="I1366" s="6"/>
      <c r="J1366" s="10"/>
    </row>
    <row r="1367" spans="1:10" ht="28.5" x14ac:dyDescent="0.2">
      <c r="A1367" s="2" t="s">
        <v>921</v>
      </c>
      <c r="B1367" s="9">
        <v>1</v>
      </c>
      <c r="C1367" s="9">
        <v>2</v>
      </c>
      <c r="D1367" s="10" t="s">
        <v>24</v>
      </c>
      <c r="E1367" s="11" t="s">
        <v>935</v>
      </c>
      <c r="F1367" s="12">
        <v>3222</v>
      </c>
      <c r="G1367" s="10" t="s">
        <v>109</v>
      </c>
      <c r="H1367" s="13"/>
      <c r="I1367" s="13"/>
      <c r="J1367" s="10"/>
    </row>
    <row r="1368" spans="1:10" ht="42.75" x14ac:dyDescent="0.2">
      <c r="A1368" s="2" t="s">
        <v>921</v>
      </c>
      <c r="B1368" s="9">
        <v>1</v>
      </c>
      <c r="C1368" s="9">
        <v>2</v>
      </c>
      <c r="D1368" s="10" t="s">
        <v>27</v>
      </c>
      <c r="E1368" s="11" t="s">
        <v>936</v>
      </c>
      <c r="F1368" s="12">
        <v>3222</v>
      </c>
      <c r="G1368" s="10" t="s">
        <v>109</v>
      </c>
      <c r="H1368" s="13"/>
      <c r="I1368" s="13"/>
      <c r="J1368" s="10"/>
    </row>
    <row r="1369" spans="1:10" x14ac:dyDescent="0.2">
      <c r="A1369" s="2" t="s">
        <v>921</v>
      </c>
      <c r="B1369" s="9">
        <v>1</v>
      </c>
      <c r="C1369" s="9">
        <v>2</v>
      </c>
      <c r="D1369" s="10" t="s">
        <v>29</v>
      </c>
      <c r="E1369" s="11" t="s">
        <v>937</v>
      </c>
      <c r="F1369" s="12">
        <v>3222</v>
      </c>
      <c r="G1369" s="10" t="s">
        <v>109</v>
      </c>
      <c r="H1369" s="13"/>
      <c r="I1369" s="13"/>
      <c r="J1369" s="10"/>
    </row>
    <row r="1370" spans="1:10" x14ac:dyDescent="0.2">
      <c r="A1370" s="2" t="s">
        <v>921</v>
      </c>
      <c r="B1370" s="9">
        <v>1</v>
      </c>
      <c r="C1370" s="9">
        <v>2</v>
      </c>
      <c r="D1370" s="10" t="s">
        <v>32</v>
      </c>
      <c r="E1370" s="11" t="s">
        <v>938</v>
      </c>
      <c r="F1370" s="12">
        <v>3222</v>
      </c>
      <c r="G1370" s="10" t="s">
        <v>109</v>
      </c>
      <c r="H1370" s="13"/>
      <c r="I1370" s="13"/>
      <c r="J1370" s="10"/>
    </row>
    <row r="1371" spans="1:10" x14ac:dyDescent="0.2">
      <c r="A1371" s="2" t="s">
        <v>921</v>
      </c>
      <c r="B1371" s="9">
        <v>1</v>
      </c>
      <c r="C1371" s="9">
        <v>2</v>
      </c>
      <c r="D1371" s="10" t="s">
        <v>33</v>
      </c>
      <c r="E1371" s="11" t="s">
        <v>939</v>
      </c>
      <c r="F1371" s="12">
        <v>3222</v>
      </c>
      <c r="G1371" s="10" t="s">
        <v>109</v>
      </c>
      <c r="H1371" s="13"/>
      <c r="I1371" s="13"/>
      <c r="J1371" s="10"/>
    </row>
    <row r="1372" spans="1:10" x14ac:dyDescent="0.2">
      <c r="A1372" s="2" t="s">
        <v>921</v>
      </c>
      <c r="B1372" s="9">
        <v>1</v>
      </c>
      <c r="C1372" s="9">
        <v>2</v>
      </c>
      <c r="D1372" s="10" t="s">
        <v>34</v>
      </c>
      <c r="E1372" s="11" t="s">
        <v>940</v>
      </c>
      <c r="F1372" s="12">
        <v>3222</v>
      </c>
      <c r="G1372" s="10" t="s">
        <v>109</v>
      </c>
      <c r="H1372" s="13"/>
      <c r="I1372" s="13"/>
      <c r="J1372" s="10"/>
    </row>
    <row r="1373" spans="1:10" x14ac:dyDescent="0.2">
      <c r="A1373" s="2" t="s">
        <v>921</v>
      </c>
      <c r="B1373" s="9">
        <v>1</v>
      </c>
      <c r="C1373" s="9">
        <v>2</v>
      </c>
      <c r="D1373" s="10" t="s">
        <v>35</v>
      </c>
      <c r="E1373" s="11" t="s">
        <v>941</v>
      </c>
      <c r="F1373" s="12">
        <v>3222</v>
      </c>
      <c r="G1373" s="10" t="s">
        <v>109</v>
      </c>
      <c r="H1373" s="13"/>
      <c r="I1373" s="13"/>
      <c r="J1373" s="10"/>
    </row>
    <row r="1374" spans="1:10" x14ac:dyDescent="0.2">
      <c r="A1374" s="2" t="s">
        <v>921</v>
      </c>
      <c r="B1374" s="9">
        <v>1</v>
      </c>
      <c r="C1374" s="9">
        <v>2</v>
      </c>
      <c r="D1374" s="10" t="s">
        <v>36</v>
      </c>
      <c r="E1374" s="11" t="s">
        <v>942</v>
      </c>
      <c r="F1374" s="12">
        <v>1</v>
      </c>
      <c r="G1374" s="10" t="s">
        <v>100</v>
      </c>
      <c r="H1374" s="13"/>
      <c r="I1374" s="13"/>
      <c r="J1374" s="10"/>
    </row>
    <row r="1375" spans="1:10" ht="28.5" x14ac:dyDescent="0.2">
      <c r="A1375" s="2" t="s">
        <v>921</v>
      </c>
      <c r="B1375" s="9">
        <v>1</v>
      </c>
      <c r="C1375" s="9">
        <v>2</v>
      </c>
      <c r="D1375" s="10" t="s">
        <v>38</v>
      </c>
      <c r="E1375" s="11" t="s">
        <v>943</v>
      </c>
      <c r="F1375" s="12">
        <v>1</v>
      </c>
      <c r="G1375" s="10" t="s">
        <v>100</v>
      </c>
      <c r="H1375" s="13"/>
      <c r="I1375" s="13"/>
      <c r="J1375" s="10"/>
    </row>
    <row r="1376" spans="1:10" ht="89.25" x14ac:dyDescent="0.2">
      <c r="A1376" s="2" t="s">
        <v>921</v>
      </c>
      <c r="B1376" s="9">
        <v>1</v>
      </c>
      <c r="C1376" s="9">
        <v>2</v>
      </c>
      <c r="D1376" s="10" t="s">
        <v>40</v>
      </c>
      <c r="E1376" s="11" t="s">
        <v>944</v>
      </c>
      <c r="F1376" s="12">
        <v>23</v>
      </c>
      <c r="G1376" s="10" t="s">
        <v>109</v>
      </c>
      <c r="H1376" s="13"/>
      <c r="I1376" s="13"/>
      <c r="J1376" s="10"/>
    </row>
    <row r="1377" spans="1:10" ht="59.25" x14ac:dyDescent="0.2">
      <c r="A1377" s="2" t="s">
        <v>921</v>
      </c>
      <c r="B1377" s="9">
        <v>1</v>
      </c>
      <c r="C1377" s="9">
        <v>2</v>
      </c>
      <c r="D1377" s="10" t="s">
        <v>42</v>
      </c>
      <c r="E1377" s="11" t="s">
        <v>945</v>
      </c>
      <c r="F1377" s="12">
        <v>85</v>
      </c>
      <c r="G1377" s="10" t="s">
        <v>109</v>
      </c>
      <c r="H1377" s="13"/>
      <c r="I1377" s="13"/>
      <c r="J1377" s="10"/>
    </row>
    <row r="1378" spans="1:10" x14ac:dyDescent="0.2">
      <c r="A1378" s="1" t="s">
        <v>946</v>
      </c>
      <c r="B1378" s="1"/>
      <c r="C1378" s="1"/>
      <c r="D1378" s="1"/>
      <c r="E1378" s="1"/>
      <c r="F1378" s="1"/>
      <c r="G1378" s="1"/>
      <c r="H1378" s="1" t="s">
        <v>67</v>
      </c>
      <c r="I1378" s="13">
        <f>I1362+I1363+I1364+I1365+I1367+I1368+I1369+I1370+I1371+I1372+I1373+I1374+I1375+I1376+I1377</f>
        <v>0</v>
      </c>
      <c r="J1378" s="1"/>
    </row>
    <row r="1381" spans="1:10" ht="15" x14ac:dyDescent="0.25">
      <c r="A1381" s="21" t="s">
        <v>947</v>
      </c>
      <c r="B1381" s="22"/>
      <c r="C1381" s="22"/>
      <c r="D1381" s="22"/>
      <c r="E1381" s="22"/>
      <c r="F1381" s="22"/>
      <c r="G1381" s="22"/>
      <c r="H1381" s="22"/>
      <c r="I1381" s="22"/>
      <c r="J1381" s="22"/>
    </row>
    <row r="1382" spans="1:10" ht="15" x14ac:dyDescent="0.25">
      <c r="A1382" s="21" t="s">
        <v>920</v>
      </c>
      <c r="B1382" s="22"/>
      <c r="C1382" s="22"/>
      <c r="D1382" s="22"/>
      <c r="E1382" s="22"/>
      <c r="F1382" s="22"/>
      <c r="G1382" s="22"/>
      <c r="H1382" s="22"/>
      <c r="I1382" s="22"/>
      <c r="J1382" s="22"/>
    </row>
    <row r="1384" spans="1:10" ht="15" x14ac:dyDescent="0.25">
      <c r="A1384" s="3" t="s">
        <v>2</v>
      </c>
      <c r="B1384" s="3" t="s">
        <v>3</v>
      </c>
      <c r="C1384" s="3" t="s">
        <v>4</v>
      </c>
      <c r="D1384" s="3" t="s">
        <v>5</v>
      </c>
      <c r="E1384" s="3" t="s">
        <v>6</v>
      </c>
      <c r="F1384" s="7" t="s">
        <v>7</v>
      </c>
      <c r="G1384" s="3" t="s">
        <v>8</v>
      </c>
      <c r="H1384" s="7" t="s">
        <v>9</v>
      </c>
      <c r="I1384" s="7" t="s">
        <v>10</v>
      </c>
      <c r="J1384" s="3" t="s">
        <v>11</v>
      </c>
    </row>
    <row r="1385" spans="1:10" ht="89.25" x14ac:dyDescent="0.2">
      <c r="A1385" s="2" t="s">
        <v>921</v>
      </c>
      <c r="B1385" s="9">
        <v>1</v>
      </c>
      <c r="C1385" s="9">
        <v>3</v>
      </c>
      <c r="D1385" s="10" t="s">
        <v>13</v>
      </c>
      <c r="E1385" s="11" t="s">
        <v>948</v>
      </c>
      <c r="F1385" s="12">
        <v>386.99999999999994</v>
      </c>
      <c r="G1385" s="10" t="s">
        <v>109</v>
      </c>
      <c r="H1385" s="13"/>
      <c r="I1385" s="13"/>
      <c r="J1385" s="10"/>
    </row>
    <row r="1386" spans="1:10" x14ac:dyDescent="0.2">
      <c r="A1386" s="2" t="s">
        <v>921</v>
      </c>
      <c r="B1386" s="9">
        <v>1</v>
      </c>
      <c r="C1386" s="9">
        <v>3</v>
      </c>
      <c r="D1386" s="10" t="s">
        <v>16</v>
      </c>
      <c r="E1386" s="11" t="s">
        <v>949</v>
      </c>
      <c r="F1386" s="12">
        <v>47</v>
      </c>
      <c r="G1386" s="10" t="s">
        <v>109</v>
      </c>
      <c r="H1386" s="13"/>
      <c r="I1386" s="13"/>
      <c r="J1386" s="10"/>
    </row>
    <row r="1387" spans="1:10" x14ac:dyDescent="0.2">
      <c r="A1387" s="2" t="s">
        <v>921</v>
      </c>
      <c r="B1387" s="9">
        <v>1</v>
      </c>
      <c r="C1387" s="9">
        <v>3</v>
      </c>
      <c r="D1387" s="10" t="s">
        <v>18</v>
      </c>
      <c r="E1387" s="11" t="s">
        <v>950</v>
      </c>
      <c r="F1387" s="12">
        <v>282</v>
      </c>
      <c r="G1387" s="10" t="s">
        <v>83</v>
      </c>
      <c r="H1387" s="13"/>
      <c r="I1387" s="13"/>
      <c r="J1387" s="10"/>
    </row>
    <row r="1388" spans="1:10" x14ac:dyDescent="0.2">
      <c r="A1388" s="2" t="s">
        <v>921</v>
      </c>
      <c r="B1388" s="9">
        <v>1</v>
      </c>
      <c r="C1388" s="9">
        <v>3</v>
      </c>
      <c r="D1388" s="10" t="s">
        <v>20</v>
      </c>
      <c r="E1388" s="11" t="s">
        <v>951</v>
      </c>
      <c r="F1388" s="12">
        <v>304</v>
      </c>
      <c r="G1388" s="10" t="s">
        <v>83</v>
      </c>
      <c r="H1388" s="13"/>
      <c r="I1388" s="13"/>
      <c r="J1388" s="10"/>
    </row>
    <row r="1389" spans="1:10" ht="59.25" x14ac:dyDescent="0.2">
      <c r="A1389" s="2" t="s">
        <v>921</v>
      </c>
      <c r="B1389" s="9">
        <v>1</v>
      </c>
      <c r="C1389" s="9">
        <v>3</v>
      </c>
      <c r="D1389" s="10" t="s">
        <v>22</v>
      </c>
      <c r="E1389" s="11" t="s">
        <v>952</v>
      </c>
      <c r="F1389" s="12">
        <v>46</v>
      </c>
      <c r="G1389" s="10" t="s">
        <v>109</v>
      </c>
      <c r="H1389" s="13"/>
      <c r="I1389" s="13"/>
      <c r="J1389" s="10"/>
    </row>
    <row r="1390" spans="1:10" ht="59.25" x14ac:dyDescent="0.2">
      <c r="A1390" s="2" t="s">
        <v>921</v>
      </c>
      <c r="B1390" s="9">
        <v>1</v>
      </c>
      <c r="C1390" s="9">
        <v>3</v>
      </c>
      <c r="D1390" s="10" t="s">
        <v>24</v>
      </c>
      <c r="E1390" s="11" t="s">
        <v>953</v>
      </c>
      <c r="F1390" s="12">
        <v>9</v>
      </c>
      <c r="G1390" s="10" t="s">
        <v>109</v>
      </c>
      <c r="H1390" s="13"/>
      <c r="I1390" s="13"/>
      <c r="J1390" s="10"/>
    </row>
    <row r="1391" spans="1:10" x14ac:dyDescent="0.2">
      <c r="A1391" s="1" t="s">
        <v>954</v>
      </c>
      <c r="B1391" s="1"/>
      <c r="C1391" s="1"/>
      <c r="D1391" s="1"/>
      <c r="E1391" s="1"/>
      <c r="F1391" s="1"/>
      <c r="G1391" s="1"/>
      <c r="H1391" s="1" t="s">
        <v>67</v>
      </c>
      <c r="I1391" s="13">
        <f>I1385+I1386+I1387+I1388+I1389+I1390</f>
        <v>0</v>
      </c>
      <c r="J1391" s="1"/>
    </row>
    <row r="1394" spans="1:10" ht="15" x14ac:dyDescent="0.25">
      <c r="A1394" s="21" t="s">
        <v>955</v>
      </c>
      <c r="B1394" s="22"/>
      <c r="C1394" s="22"/>
      <c r="D1394" s="22"/>
      <c r="E1394" s="22"/>
      <c r="F1394" s="22"/>
      <c r="G1394" s="22"/>
      <c r="H1394" s="22"/>
      <c r="I1394" s="22"/>
      <c r="J1394" s="22"/>
    </row>
    <row r="1395" spans="1:10" ht="15" x14ac:dyDescent="0.25">
      <c r="A1395" s="21" t="s">
        <v>920</v>
      </c>
      <c r="B1395" s="22"/>
      <c r="C1395" s="22"/>
      <c r="D1395" s="22"/>
      <c r="E1395" s="22"/>
      <c r="F1395" s="22"/>
      <c r="G1395" s="22"/>
      <c r="H1395" s="22"/>
      <c r="I1395" s="22"/>
      <c r="J1395" s="22"/>
    </row>
    <row r="1397" spans="1:10" ht="15" x14ac:dyDescent="0.25">
      <c r="A1397" s="3" t="s">
        <v>2</v>
      </c>
      <c r="B1397" s="3" t="s">
        <v>3</v>
      </c>
      <c r="C1397" s="3" t="s">
        <v>4</v>
      </c>
      <c r="D1397" s="3" t="s">
        <v>5</v>
      </c>
      <c r="E1397" s="3" t="s">
        <v>6</v>
      </c>
      <c r="F1397" s="7" t="s">
        <v>7</v>
      </c>
      <c r="G1397" s="3" t="s">
        <v>8</v>
      </c>
      <c r="H1397" s="7" t="s">
        <v>9</v>
      </c>
      <c r="I1397" s="7" t="s">
        <v>10</v>
      </c>
      <c r="J1397" s="3" t="s">
        <v>11</v>
      </c>
    </row>
    <row r="1398" spans="1:10" ht="104.25" x14ac:dyDescent="0.2">
      <c r="A1398" s="2" t="s">
        <v>921</v>
      </c>
      <c r="B1398" s="9">
        <v>1</v>
      </c>
      <c r="C1398" s="9">
        <v>4</v>
      </c>
      <c r="D1398" s="10" t="s">
        <v>13</v>
      </c>
      <c r="E1398" s="11" t="s">
        <v>956</v>
      </c>
      <c r="F1398" s="12">
        <v>30</v>
      </c>
      <c r="G1398" s="10" t="s">
        <v>109</v>
      </c>
      <c r="H1398" s="13"/>
      <c r="I1398" s="13"/>
      <c r="J1398" s="10"/>
    </row>
    <row r="1399" spans="1:10" x14ac:dyDescent="0.2">
      <c r="A1399" s="2" t="s">
        <v>921</v>
      </c>
      <c r="B1399" s="9">
        <v>1</v>
      </c>
      <c r="C1399" s="9">
        <v>4</v>
      </c>
      <c r="D1399" s="10" t="s">
        <v>16</v>
      </c>
      <c r="E1399" s="11" t="s">
        <v>957</v>
      </c>
      <c r="F1399" s="12">
        <v>13</v>
      </c>
      <c r="G1399" s="10" t="s">
        <v>83</v>
      </c>
      <c r="H1399" s="13"/>
      <c r="I1399" s="6"/>
      <c r="J1399" s="10"/>
    </row>
    <row r="1400" spans="1:10" ht="42.75" x14ac:dyDescent="0.2">
      <c r="A1400" s="2" t="s">
        <v>921</v>
      </c>
      <c r="B1400" s="9">
        <v>1</v>
      </c>
      <c r="C1400" s="9">
        <v>4</v>
      </c>
      <c r="D1400" s="10" t="s">
        <v>18</v>
      </c>
      <c r="E1400" s="11" t="s">
        <v>958</v>
      </c>
      <c r="F1400" s="12">
        <v>1</v>
      </c>
      <c r="G1400" s="10" t="s">
        <v>100</v>
      </c>
      <c r="H1400" s="13"/>
      <c r="I1400" s="13"/>
      <c r="J1400" s="10"/>
    </row>
    <row r="1401" spans="1:10" ht="74.25" x14ac:dyDescent="0.2">
      <c r="A1401" s="2" t="s">
        <v>921</v>
      </c>
      <c r="B1401" s="9">
        <v>1</v>
      </c>
      <c r="C1401" s="9">
        <v>4</v>
      </c>
      <c r="D1401" s="10" t="s">
        <v>20</v>
      </c>
      <c r="E1401" s="11" t="s">
        <v>959</v>
      </c>
      <c r="F1401" s="12">
        <v>89</v>
      </c>
      <c r="G1401" s="10" t="s">
        <v>109</v>
      </c>
      <c r="H1401" s="13"/>
      <c r="I1401" s="13"/>
      <c r="J1401" s="10"/>
    </row>
    <row r="1402" spans="1:10" x14ac:dyDescent="0.2">
      <c r="A1402" s="2" t="s">
        <v>921</v>
      </c>
      <c r="B1402" s="9">
        <v>1</v>
      </c>
      <c r="C1402" s="9">
        <v>4</v>
      </c>
      <c r="D1402" s="10" t="s">
        <v>22</v>
      </c>
      <c r="E1402" s="11" t="s">
        <v>957</v>
      </c>
      <c r="F1402" s="12">
        <v>160</v>
      </c>
      <c r="G1402" s="10" t="s">
        <v>83</v>
      </c>
      <c r="H1402" s="13"/>
      <c r="I1402" s="13"/>
      <c r="J1402" s="10"/>
    </row>
    <row r="1403" spans="1:10" ht="42.75" x14ac:dyDescent="0.2">
      <c r="A1403" s="2" t="s">
        <v>921</v>
      </c>
      <c r="B1403" s="9">
        <v>1</v>
      </c>
      <c r="C1403" s="9">
        <v>4</v>
      </c>
      <c r="D1403" s="10" t="s">
        <v>24</v>
      </c>
      <c r="E1403" s="11" t="s">
        <v>960</v>
      </c>
      <c r="F1403" s="12">
        <v>1</v>
      </c>
      <c r="G1403" s="10" t="s">
        <v>100</v>
      </c>
      <c r="H1403" s="13"/>
      <c r="I1403" s="13"/>
      <c r="J1403" s="10"/>
    </row>
    <row r="1404" spans="1:10" ht="74.25" x14ac:dyDescent="0.2">
      <c r="A1404" s="2" t="s">
        <v>921</v>
      </c>
      <c r="B1404" s="9">
        <v>1</v>
      </c>
      <c r="C1404" s="9">
        <v>4</v>
      </c>
      <c r="D1404" s="10" t="s">
        <v>27</v>
      </c>
      <c r="E1404" s="11" t="s">
        <v>961</v>
      </c>
      <c r="F1404" s="12">
        <v>14.000000000000002</v>
      </c>
      <c r="G1404" s="10" t="s">
        <v>109</v>
      </c>
      <c r="H1404" s="13"/>
      <c r="I1404" s="13"/>
      <c r="J1404" s="10"/>
    </row>
    <row r="1405" spans="1:10" x14ac:dyDescent="0.2">
      <c r="A1405" s="2" t="s">
        <v>921</v>
      </c>
      <c r="B1405" s="9">
        <v>1</v>
      </c>
      <c r="C1405" s="9">
        <v>4</v>
      </c>
      <c r="D1405" s="10" t="s">
        <v>29</v>
      </c>
      <c r="E1405" s="11" t="s">
        <v>957</v>
      </c>
      <c r="F1405" s="12">
        <v>24</v>
      </c>
      <c r="G1405" s="10" t="s">
        <v>83</v>
      </c>
      <c r="H1405" s="13"/>
      <c r="I1405" s="13"/>
      <c r="J1405" s="10"/>
    </row>
    <row r="1406" spans="1:10" ht="42.75" x14ac:dyDescent="0.2">
      <c r="A1406" s="2" t="s">
        <v>921</v>
      </c>
      <c r="B1406" s="9">
        <v>1</v>
      </c>
      <c r="C1406" s="9">
        <v>4</v>
      </c>
      <c r="D1406" s="10" t="s">
        <v>32</v>
      </c>
      <c r="E1406" s="11" t="s">
        <v>962</v>
      </c>
      <c r="F1406" s="12">
        <v>1</v>
      </c>
      <c r="G1406" s="10" t="s">
        <v>100</v>
      </c>
      <c r="H1406" s="13"/>
      <c r="I1406" s="13"/>
      <c r="J1406" s="10"/>
    </row>
    <row r="1407" spans="1:10" ht="89.25" x14ac:dyDescent="0.2">
      <c r="A1407" s="2" t="s">
        <v>921</v>
      </c>
      <c r="B1407" s="9">
        <v>1</v>
      </c>
      <c r="C1407" s="9">
        <v>4</v>
      </c>
      <c r="D1407" s="10" t="s">
        <v>33</v>
      </c>
      <c r="E1407" s="11" t="s">
        <v>963</v>
      </c>
      <c r="F1407" s="12">
        <v>10</v>
      </c>
      <c r="G1407" s="10" t="s">
        <v>109</v>
      </c>
      <c r="H1407" s="13"/>
      <c r="I1407" s="13"/>
      <c r="J1407" s="10"/>
    </row>
    <row r="1408" spans="1:10" ht="44.25" x14ac:dyDescent="0.2">
      <c r="A1408" s="2" t="s">
        <v>921</v>
      </c>
      <c r="B1408" s="9">
        <v>1</v>
      </c>
      <c r="C1408" s="9">
        <v>4</v>
      </c>
      <c r="D1408" s="10" t="s">
        <v>34</v>
      </c>
      <c r="E1408" s="11" t="s">
        <v>964</v>
      </c>
      <c r="F1408" s="12">
        <v>23</v>
      </c>
      <c r="G1408" s="10" t="s">
        <v>83</v>
      </c>
      <c r="H1408" s="13"/>
      <c r="I1408" s="13"/>
      <c r="J1408" s="10"/>
    </row>
    <row r="1409" spans="1:10" x14ac:dyDescent="0.2">
      <c r="A1409" s="1" t="s">
        <v>965</v>
      </c>
      <c r="B1409" s="1"/>
      <c r="C1409" s="1"/>
      <c r="D1409" s="1"/>
      <c r="E1409" s="1"/>
      <c r="F1409" s="1"/>
      <c r="G1409" s="1"/>
      <c r="H1409" s="1" t="s">
        <v>67</v>
      </c>
      <c r="I1409" s="13">
        <f>I1398+I1400+I1401+I1402+I1403+I1404+I1405+I1406+I1407+I1408</f>
        <v>0</v>
      </c>
      <c r="J1409" s="1"/>
    </row>
    <row r="1412" spans="1:10" ht="15" x14ac:dyDescent="0.25">
      <c r="A1412" s="21" t="s">
        <v>966</v>
      </c>
      <c r="B1412" s="22"/>
      <c r="C1412" s="22"/>
      <c r="D1412" s="22"/>
      <c r="E1412" s="22"/>
      <c r="F1412" s="22"/>
      <c r="G1412" s="22"/>
      <c r="H1412" s="22"/>
      <c r="I1412" s="22"/>
      <c r="J1412" s="22"/>
    </row>
    <row r="1413" spans="1:10" ht="15" x14ac:dyDescent="0.25">
      <c r="A1413" s="21" t="s">
        <v>920</v>
      </c>
      <c r="B1413" s="22"/>
      <c r="C1413" s="22"/>
      <c r="D1413" s="22"/>
      <c r="E1413" s="22"/>
      <c r="F1413" s="22"/>
      <c r="G1413" s="22"/>
      <c r="H1413" s="22"/>
      <c r="I1413" s="22"/>
      <c r="J1413" s="22"/>
    </row>
    <row r="1415" spans="1:10" ht="15" x14ac:dyDescent="0.25">
      <c r="A1415" s="3" t="s">
        <v>2</v>
      </c>
      <c r="B1415" s="3" t="s">
        <v>3</v>
      </c>
      <c r="C1415" s="3" t="s">
        <v>4</v>
      </c>
      <c r="D1415" s="3" t="s">
        <v>5</v>
      </c>
      <c r="E1415" s="3" t="s">
        <v>6</v>
      </c>
      <c r="F1415" s="7" t="s">
        <v>7</v>
      </c>
      <c r="G1415" s="3" t="s">
        <v>8</v>
      </c>
      <c r="H1415" s="7" t="s">
        <v>9</v>
      </c>
      <c r="I1415" s="7" t="s">
        <v>10</v>
      </c>
      <c r="J1415" s="3" t="s">
        <v>11</v>
      </c>
    </row>
    <row r="1416" spans="1:10" ht="89.25" x14ac:dyDescent="0.2">
      <c r="A1416" s="2" t="s">
        <v>921</v>
      </c>
      <c r="B1416" s="9">
        <v>1</v>
      </c>
      <c r="C1416" s="9">
        <v>5</v>
      </c>
      <c r="D1416" s="10" t="s">
        <v>13</v>
      </c>
      <c r="E1416" s="11" t="s">
        <v>967</v>
      </c>
      <c r="F1416" s="12">
        <v>28.000000000000004</v>
      </c>
      <c r="G1416" s="10" t="s">
        <v>109</v>
      </c>
      <c r="H1416" s="13"/>
      <c r="I1416" s="13"/>
      <c r="J1416" s="10"/>
    </row>
    <row r="1417" spans="1:10" ht="59.25" x14ac:dyDescent="0.2">
      <c r="A1417" s="2" t="s">
        <v>921</v>
      </c>
      <c r="B1417" s="9">
        <v>1</v>
      </c>
      <c r="C1417" s="9">
        <v>5</v>
      </c>
      <c r="D1417" s="10" t="s">
        <v>16</v>
      </c>
      <c r="E1417" s="11" t="s">
        <v>968</v>
      </c>
      <c r="F1417" s="12">
        <v>21</v>
      </c>
      <c r="G1417" s="10" t="s">
        <v>109</v>
      </c>
      <c r="H1417" s="13"/>
      <c r="I1417" s="13"/>
      <c r="J1417" s="10"/>
    </row>
    <row r="1418" spans="1:10" ht="74.25" x14ac:dyDescent="0.2">
      <c r="A1418" s="2" t="s">
        <v>921</v>
      </c>
      <c r="B1418" s="9">
        <v>1</v>
      </c>
      <c r="C1418" s="9">
        <v>5</v>
      </c>
      <c r="D1418" s="10" t="s">
        <v>18</v>
      </c>
      <c r="E1418" s="11" t="s">
        <v>969</v>
      </c>
      <c r="F1418" s="12">
        <v>304</v>
      </c>
      <c r="G1418" s="10" t="s">
        <v>83</v>
      </c>
      <c r="H1418" s="13"/>
      <c r="I1418" s="13"/>
      <c r="J1418" s="10"/>
    </row>
    <row r="1419" spans="1:10" ht="44.25" x14ac:dyDescent="0.2">
      <c r="A1419" s="2" t="s">
        <v>921</v>
      </c>
      <c r="B1419" s="9">
        <v>1</v>
      </c>
      <c r="C1419" s="9">
        <v>5</v>
      </c>
      <c r="D1419" s="10" t="s">
        <v>20</v>
      </c>
      <c r="E1419" s="11" t="s">
        <v>970</v>
      </c>
      <c r="F1419" s="12">
        <v>120</v>
      </c>
      <c r="G1419" s="10" t="s">
        <v>83</v>
      </c>
      <c r="H1419" s="13"/>
      <c r="I1419" s="13"/>
      <c r="J1419" s="10"/>
    </row>
    <row r="1420" spans="1:10" x14ac:dyDescent="0.2">
      <c r="A1420" s="2" t="s">
        <v>921</v>
      </c>
      <c r="B1420" s="9">
        <v>1</v>
      </c>
      <c r="C1420" s="9">
        <v>5</v>
      </c>
      <c r="D1420" s="10" t="s">
        <v>22</v>
      </c>
      <c r="E1420" s="11" t="s">
        <v>971</v>
      </c>
      <c r="F1420" s="12">
        <v>8</v>
      </c>
      <c r="G1420" s="10" t="s">
        <v>83</v>
      </c>
      <c r="H1420" s="13"/>
      <c r="I1420" s="13"/>
      <c r="J1420" s="10"/>
    </row>
    <row r="1421" spans="1:10" ht="44.25" x14ac:dyDescent="0.2">
      <c r="A1421" s="2" t="s">
        <v>921</v>
      </c>
      <c r="B1421" s="9">
        <v>1</v>
      </c>
      <c r="C1421" s="9">
        <v>5</v>
      </c>
      <c r="D1421" s="10" t="s">
        <v>24</v>
      </c>
      <c r="E1421" s="11" t="s">
        <v>972</v>
      </c>
      <c r="F1421" s="12">
        <v>0</v>
      </c>
      <c r="G1421" s="10" t="s">
        <v>109</v>
      </c>
      <c r="H1421" s="13"/>
      <c r="I1421" s="13"/>
      <c r="J1421" s="10"/>
    </row>
    <row r="1422" spans="1:10" ht="74.25" x14ac:dyDescent="0.2">
      <c r="A1422" s="2" t="s">
        <v>921</v>
      </c>
      <c r="B1422" s="9">
        <v>1</v>
      </c>
      <c r="C1422" s="9">
        <v>5</v>
      </c>
      <c r="D1422" s="10" t="s">
        <v>27</v>
      </c>
      <c r="E1422" s="11" t="s">
        <v>973</v>
      </c>
      <c r="F1422" s="12">
        <v>319</v>
      </c>
      <c r="G1422" s="10" t="s">
        <v>83</v>
      </c>
      <c r="H1422" s="13"/>
      <c r="I1422" s="13"/>
      <c r="J1422" s="10"/>
    </row>
    <row r="1423" spans="1:10" ht="104.25" x14ac:dyDescent="0.2">
      <c r="A1423" s="2" t="s">
        <v>921</v>
      </c>
      <c r="B1423" s="9">
        <v>1</v>
      </c>
      <c r="C1423" s="9">
        <v>5</v>
      </c>
      <c r="D1423" s="10" t="s">
        <v>29</v>
      </c>
      <c r="E1423" s="11" t="s">
        <v>974</v>
      </c>
      <c r="F1423" s="12">
        <v>319</v>
      </c>
      <c r="G1423" s="10" t="s">
        <v>83</v>
      </c>
      <c r="H1423" s="13"/>
      <c r="I1423" s="13"/>
      <c r="J1423" s="10"/>
    </row>
    <row r="1424" spans="1:10" x14ac:dyDescent="0.2">
      <c r="A1424" s="1" t="s">
        <v>975</v>
      </c>
      <c r="B1424" s="1"/>
      <c r="C1424" s="1"/>
      <c r="D1424" s="1"/>
      <c r="E1424" s="1"/>
      <c r="F1424" s="1"/>
      <c r="G1424" s="1"/>
      <c r="H1424" s="1" t="s">
        <v>67</v>
      </c>
      <c r="I1424" s="13">
        <f>I1416+I1417+I1418+I1419+I1420+I1421+I1422+I1423</f>
        <v>0</v>
      </c>
      <c r="J1424" s="1"/>
    </row>
    <row r="1432" spans="1:9" ht="15" x14ac:dyDescent="0.25">
      <c r="A1432" s="3" t="s">
        <v>89</v>
      </c>
      <c r="B1432" s="14"/>
      <c r="C1432" s="14"/>
      <c r="D1432" s="14"/>
      <c r="E1432" s="14"/>
      <c r="F1432" s="14"/>
      <c r="G1432" s="14"/>
      <c r="H1432" s="14"/>
      <c r="I1432" s="7" t="s">
        <v>90</v>
      </c>
    </row>
    <row r="1433" spans="1:9" x14ac:dyDescent="0.2">
      <c r="A1433" s="15" t="s">
        <v>976</v>
      </c>
      <c r="I1433" s="16">
        <f>I1355</f>
        <v>0</v>
      </c>
    </row>
    <row r="1434" spans="1:9" x14ac:dyDescent="0.2">
      <c r="A1434" s="15" t="s">
        <v>977</v>
      </c>
      <c r="I1434" s="16">
        <f>I1378</f>
        <v>0</v>
      </c>
    </row>
    <row r="1435" spans="1:9" x14ac:dyDescent="0.2">
      <c r="A1435" s="15" t="s">
        <v>978</v>
      </c>
      <c r="I1435" s="16">
        <f>I1391</f>
        <v>0</v>
      </c>
    </row>
    <row r="1436" spans="1:9" x14ac:dyDescent="0.2">
      <c r="A1436" s="15" t="s">
        <v>979</v>
      </c>
      <c r="I1436" s="16">
        <f>I1409</f>
        <v>0</v>
      </c>
    </row>
    <row r="1437" spans="1:9" x14ac:dyDescent="0.2">
      <c r="A1437" s="15" t="s">
        <v>980</v>
      </c>
      <c r="I1437" s="16">
        <f>I1424</f>
        <v>0</v>
      </c>
    </row>
    <row r="1438" spans="1:9" x14ac:dyDescent="0.2">
      <c r="A1438" s="15"/>
      <c r="I1438" s="15"/>
    </row>
    <row r="1439" spans="1:9" x14ac:dyDescent="0.2">
      <c r="A1439" s="17"/>
      <c r="B1439" s="18"/>
      <c r="C1439" s="18"/>
      <c r="D1439" s="18"/>
      <c r="E1439" s="18"/>
      <c r="F1439" s="18"/>
      <c r="G1439" s="18"/>
      <c r="H1439" s="18"/>
      <c r="I1439" s="17"/>
    </row>
    <row r="1440" spans="1:9" x14ac:dyDescent="0.2">
      <c r="H1440" s="4" t="s">
        <v>95</v>
      </c>
      <c r="I1440" s="13">
        <f>SUM(I1433:I1439)</f>
        <v>0</v>
      </c>
    </row>
    <row r="1444" spans="1:10" ht="15" x14ac:dyDescent="0.25">
      <c r="A1444" s="21" t="s">
        <v>981</v>
      </c>
      <c r="B1444" s="22"/>
      <c r="C1444" s="22"/>
      <c r="D1444" s="22"/>
      <c r="E1444" s="22"/>
      <c r="F1444" s="22"/>
      <c r="G1444" s="22"/>
      <c r="H1444" s="22"/>
      <c r="I1444" s="22"/>
      <c r="J1444" s="22"/>
    </row>
    <row r="1445" spans="1:10" ht="15" x14ac:dyDescent="0.25">
      <c r="A1445" s="21" t="s">
        <v>982</v>
      </c>
      <c r="B1445" s="22"/>
      <c r="C1445" s="22"/>
      <c r="D1445" s="22"/>
      <c r="E1445" s="22"/>
      <c r="F1445" s="22"/>
      <c r="G1445" s="22"/>
      <c r="H1445" s="22"/>
      <c r="I1445" s="22"/>
      <c r="J1445" s="22"/>
    </row>
    <row r="1447" spans="1:10" ht="15" x14ac:dyDescent="0.25">
      <c r="A1447" s="3" t="s">
        <v>2</v>
      </c>
      <c r="B1447" s="3" t="s">
        <v>3</v>
      </c>
      <c r="C1447" s="3" t="s">
        <v>4</v>
      </c>
      <c r="D1447" s="3" t="s">
        <v>5</v>
      </c>
      <c r="E1447" s="3" t="s">
        <v>6</v>
      </c>
      <c r="F1447" s="7" t="s">
        <v>7</v>
      </c>
      <c r="G1447" s="3" t="s">
        <v>8</v>
      </c>
      <c r="H1447" s="7" t="s">
        <v>9</v>
      </c>
      <c r="I1447" s="7" t="s">
        <v>10</v>
      </c>
      <c r="J1447" s="3" t="s">
        <v>11</v>
      </c>
    </row>
    <row r="1448" spans="1:10" ht="149.25" x14ac:dyDescent="0.2">
      <c r="A1448" s="2" t="s">
        <v>983</v>
      </c>
      <c r="B1448" s="9">
        <v>1</v>
      </c>
      <c r="C1448" s="9">
        <v>1</v>
      </c>
      <c r="D1448" s="10" t="s">
        <v>13</v>
      </c>
      <c r="E1448" s="11" t="s">
        <v>984</v>
      </c>
      <c r="F1448" s="12">
        <v>70</v>
      </c>
      <c r="G1448" s="10" t="s">
        <v>109</v>
      </c>
      <c r="H1448" s="13"/>
      <c r="I1448" s="13"/>
      <c r="J1448" s="10"/>
    </row>
    <row r="1449" spans="1:10" ht="59.25" x14ac:dyDescent="0.2">
      <c r="A1449" s="2" t="s">
        <v>983</v>
      </c>
      <c r="B1449" s="9">
        <v>1</v>
      </c>
      <c r="C1449" s="9">
        <v>1</v>
      </c>
      <c r="D1449" s="10" t="s">
        <v>16</v>
      </c>
      <c r="E1449" s="11" t="s">
        <v>985</v>
      </c>
      <c r="F1449" s="12">
        <v>46</v>
      </c>
      <c r="G1449" s="10" t="s">
        <v>109</v>
      </c>
      <c r="H1449" s="13"/>
      <c r="I1449" s="13"/>
      <c r="J1449" s="10"/>
    </row>
    <row r="1450" spans="1:10" x14ac:dyDescent="0.2">
      <c r="A1450" s="2" t="s">
        <v>983</v>
      </c>
      <c r="B1450" s="9">
        <v>1</v>
      </c>
      <c r="C1450" s="9">
        <v>1</v>
      </c>
      <c r="D1450" s="10" t="s">
        <v>18</v>
      </c>
      <c r="E1450" s="11" t="s">
        <v>986</v>
      </c>
      <c r="F1450" s="12">
        <v>46</v>
      </c>
      <c r="G1450" s="10" t="s">
        <v>109</v>
      </c>
      <c r="H1450" s="13"/>
      <c r="I1450" s="6"/>
      <c r="J1450" s="10"/>
    </row>
    <row r="1451" spans="1:10" ht="59.25" x14ac:dyDescent="0.2">
      <c r="A1451" s="2" t="s">
        <v>983</v>
      </c>
      <c r="B1451" s="9">
        <v>1</v>
      </c>
      <c r="C1451" s="9">
        <v>1</v>
      </c>
      <c r="D1451" s="10" t="s">
        <v>20</v>
      </c>
      <c r="E1451" s="11" t="s">
        <v>987</v>
      </c>
      <c r="F1451" s="12">
        <v>46</v>
      </c>
      <c r="G1451" s="10" t="s">
        <v>109</v>
      </c>
      <c r="H1451" s="13"/>
      <c r="I1451" s="13"/>
      <c r="J1451" s="10"/>
    </row>
    <row r="1452" spans="1:10" ht="74.25" x14ac:dyDescent="0.2">
      <c r="A1452" s="2" t="s">
        <v>983</v>
      </c>
      <c r="B1452" s="9">
        <v>1</v>
      </c>
      <c r="C1452" s="9">
        <v>1</v>
      </c>
      <c r="D1452" s="10" t="s">
        <v>22</v>
      </c>
      <c r="E1452" s="11" t="s">
        <v>988</v>
      </c>
      <c r="F1452" s="12">
        <v>283</v>
      </c>
      <c r="G1452" s="10" t="s">
        <v>109</v>
      </c>
      <c r="H1452" s="13"/>
      <c r="I1452" s="13"/>
      <c r="J1452" s="10"/>
    </row>
    <row r="1453" spans="1:10" ht="74.25" x14ac:dyDescent="0.2">
      <c r="A1453" s="2" t="s">
        <v>983</v>
      </c>
      <c r="B1453" s="9">
        <v>1</v>
      </c>
      <c r="C1453" s="9">
        <v>1</v>
      </c>
      <c r="D1453" s="10" t="s">
        <v>24</v>
      </c>
      <c r="E1453" s="11" t="s">
        <v>989</v>
      </c>
      <c r="F1453" s="12">
        <v>2</v>
      </c>
      <c r="G1453" s="10" t="s">
        <v>124</v>
      </c>
      <c r="H1453" s="13"/>
      <c r="I1453" s="13"/>
      <c r="J1453" s="10"/>
    </row>
    <row r="1454" spans="1:10" x14ac:dyDescent="0.2">
      <c r="A1454" s="1" t="s">
        <v>990</v>
      </c>
      <c r="B1454" s="1"/>
      <c r="C1454" s="1"/>
      <c r="D1454" s="1"/>
      <c r="E1454" s="1"/>
      <c r="F1454" s="1"/>
      <c r="G1454" s="1"/>
      <c r="H1454" s="1" t="s">
        <v>67</v>
      </c>
      <c r="I1454" s="13">
        <f>I1448+I1449+I1451+I1452+I1453</f>
        <v>0</v>
      </c>
      <c r="J1454" s="1"/>
    </row>
    <row r="1457" spans="1:10" ht="15" x14ac:dyDescent="0.25">
      <c r="A1457" s="21" t="s">
        <v>991</v>
      </c>
      <c r="B1457" s="22"/>
      <c r="C1457" s="22"/>
      <c r="D1457" s="22"/>
      <c r="E1457" s="22"/>
      <c r="F1457" s="22"/>
      <c r="G1457" s="22"/>
      <c r="H1457" s="22"/>
      <c r="I1457" s="22"/>
      <c r="J1457" s="22"/>
    </row>
    <row r="1458" spans="1:10" ht="15" x14ac:dyDescent="0.25">
      <c r="A1458" s="21" t="s">
        <v>982</v>
      </c>
      <c r="B1458" s="22"/>
      <c r="C1458" s="22"/>
      <c r="D1458" s="22"/>
      <c r="E1458" s="22"/>
      <c r="F1458" s="22"/>
      <c r="G1458" s="22"/>
      <c r="H1458" s="22"/>
      <c r="I1458" s="22"/>
      <c r="J1458" s="22"/>
    </row>
    <row r="1460" spans="1:10" ht="15" x14ac:dyDescent="0.25">
      <c r="A1460" s="3" t="s">
        <v>2</v>
      </c>
      <c r="B1460" s="3" t="s">
        <v>3</v>
      </c>
      <c r="C1460" s="3" t="s">
        <v>4</v>
      </c>
      <c r="D1460" s="3" t="s">
        <v>5</v>
      </c>
      <c r="E1460" s="3" t="s">
        <v>6</v>
      </c>
      <c r="F1460" s="7" t="s">
        <v>7</v>
      </c>
      <c r="G1460" s="3" t="s">
        <v>8</v>
      </c>
      <c r="H1460" s="7" t="s">
        <v>9</v>
      </c>
      <c r="I1460" s="7" t="s">
        <v>10</v>
      </c>
      <c r="J1460" s="3" t="s">
        <v>11</v>
      </c>
    </row>
    <row r="1461" spans="1:10" ht="224.25" x14ac:dyDescent="0.2">
      <c r="A1461" s="2" t="s">
        <v>983</v>
      </c>
      <c r="B1461" s="9">
        <v>1</v>
      </c>
      <c r="C1461" s="9">
        <v>2</v>
      </c>
      <c r="D1461" s="10" t="s">
        <v>13</v>
      </c>
      <c r="E1461" s="11" t="s">
        <v>992</v>
      </c>
      <c r="F1461" s="12">
        <v>2</v>
      </c>
      <c r="G1461" s="10" t="s">
        <v>109</v>
      </c>
      <c r="H1461" s="13"/>
      <c r="I1461" s="13"/>
      <c r="J1461" s="10"/>
    </row>
    <row r="1462" spans="1:10" x14ac:dyDescent="0.2">
      <c r="A1462" s="2" t="s">
        <v>983</v>
      </c>
      <c r="B1462" s="9">
        <v>1</v>
      </c>
      <c r="C1462" s="9">
        <v>2</v>
      </c>
      <c r="D1462" s="10" t="s">
        <v>16</v>
      </c>
      <c r="E1462" s="11" t="s">
        <v>993</v>
      </c>
      <c r="F1462" s="12">
        <v>7.0000000000000009</v>
      </c>
      <c r="G1462" s="10" t="s">
        <v>109</v>
      </c>
      <c r="H1462" s="13"/>
      <c r="I1462" s="13"/>
      <c r="J1462" s="10"/>
    </row>
    <row r="1463" spans="1:10" ht="103.5" x14ac:dyDescent="0.2">
      <c r="A1463" s="2" t="s">
        <v>983</v>
      </c>
      <c r="B1463" s="9">
        <v>1</v>
      </c>
      <c r="C1463" s="9">
        <v>2</v>
      </c>
      <c r="D1463" s="10" t="s">
        <v>18</v>
      </c>
      <c r="E1463" s="11" t="s">
        <v>994</v>
      </c>
      <c r="F1463" s="12">
        <v>1</v>
      </c>
      <c r="G1463" s="10" t="s">
        <v>109</v>
      </c>
      <c r="H1463" s="13"/>
      <c r="I1463" s="13"/>
      <c r="J1463" s="10"/>
    </row>
    <row r="1464" spans="1:10" x14ac:dyDescent="0.2">
      <c r="A1464" s="2" t="s">
        <v>983</v>
      </c>
      <c r="B1464" s="9">
        <v>1</v>
      </c>
      <c r="C1464" s="9">
        <v>2</v>
      </c>
      <c r="D1464" s="10" t="s">
        <v>20</v>
      </c>
      <c r="E1464" s="11" t="s">
        <v>995</v>
      </c>
      <c r="F1464" s="12">
        <v>11</v>
      </c>
      <c r="G1464" s="10" t="s">
        <v>109</v>
      </c>
      <c r="H1464" s="13"/>
      <c r="I1464" s="13"/>
      <c r="J1464" s="10"/>
    </row>
    <row r="1465" spans="1:10" ht="102.75" x14ac:dyDescent="0.2">
      <c r="A1465" s="2" t="s">
        <v>983</v>
      </c>
      <c r="B1465" s="9">
        <v>1</v>
      </c>
      <c r="C1465" s="9">
        <v>2</v>
      </c>
      <c r="D1465" s="10" t="s">
        <v>22</v>
      </c>
      <c r="E1465" s="11" t="s">
        <v>996</v>
      </c>
      <c r="F1465" s="12">
        <v>11</v>
      </c>
      <c r="G1465" s="10" t="s">
        <v>109</v>
      </c>
      <c r="H1465" s="13"/>
      <c r="I1465" s="13"/>
      <c r="J1465" s="10"/>
    </row>
    <row r="1466" spans="1:10" ht="28.5" x14ac:dyDescent="0.2">
      <c r="A1466" s="2" t="s">
        <v>983</v>
      </c>
      <c r="B1466" s="9">
        <v>1</v>
      </c>
      <c r="C1466" s="9">
        <v>2</v>
      </c>
      <c r="D1466" s="10" t="s">
        <v>24</v>
      </c>
      <c r="E1466" s="11" t="s">
        <v>997</v>
      </c>
      <c r="F1466" s="12">
        <v>7.0000000000000009</v>
      </c>
      <c r="G1466" s="10" t="s">
        <v>109</v>
      </c>
      <c r="H1466" s="13"/>
      <c r="I1466" s="13"/>
      <c r="J1466" s="10"/>
    </row>
    <row r="1467" spans="1:10" x14ac:dyDescent="0.2">
      <c r="A1467" s="1" t="s">
        <v>998</v>
      </c>
      <c r="B1467" s="1"/>
      <c r="C1467" s="1"/>
      <c r="D1467" s="1"/>
      <c r="E1467" s="1"/>
      <c r="F1467" s="1"/>
      <c r="G1467" s="1"/>
      <c r="H1467" s="1" t="s">
        <v>67</v>
      </c>
      <c r="I1467" s="13">
        <f>I1461+I1462+I1463+I1464+I1465+I1466</f>
        <v>0</v>
      </c>
      <c r="J1467" s="1"/>
    </row>
    <row r="1470" spans="1:10" ht="15" x14ac:dyDescent="0.25">
      <c r="A1470" s="21" t="s">
        <v>999</v>
      </c>
      <c r="B1470" s="22"/>
      <c r="C1470" s="22"/>
      <c r="D1470" s="22"/>
      <c r="E1470" s="22"/>
      <c r="F1470" s="22"/>
      <c r="G1470" s="22"/>
      <c r="H1470" s="22"/>
      <c r="I1470" s="22"/>
      <c r="J1470" s="22"/>
    </row>
    <row r="1471" spans="1:10" ht="15" x14ac:dyDescent="0.25">
      <c r="A1471" s="21" t="s">
        <v>982</v>
      </c>
      <c r="B1471" s="22"/>
      <c r="C1471" s="22"/>
      <c r="D1471" s="22"/>
      <c r="E1471" s="22"/>
      <c r="F1471" s="22"/>
      <c r="G1471" s="22"/>
      <c r="H1471" s="22"/>
      <c r="I1471" s="22"/>
      <c r="J1471" s="22"/>
    </row>
    <row r="1473" spans="1:10" ht="15" x14ac:dyDescent="0.25">
      <c r="A1473" s="3" t="s">
        <v>2</v>
      </c>
      <c r="B1473" s="3" t="s">
        <v>3</v>
      </c>
      <c r="C1473" s="3" t="s">
        <v>4</v>
      </c>
      <c r="D1473" s="3" t="s">
        <v>5</v>
      </c>
      <c r="E1473" s="3" t="s">
        <v>6</v>
      </c>
      <c r="F1473" s="7" t="s">
        <v>7</v>
      </c>
      <c r="G1473" s="3" t="s">
        <v>8</v>
      </c>
      <c r="H1473" s="7" t="s">
        <v>9</v>
      </c>
      <c r="I1473" s="7" t="s">
        <v>10</v>
      </c>
      <c r="J1473" s="3" t="s">
        <v>11</v>
      </c>
    </row>
    <row r="1474" spans="1:10" ht="104.25" x14ac:dyDescent="0.2">
      <c r="A1474" s="2" t="s">
        <v>983</v>
      </c>
      <c r="B1474" s="9">
        <v>1</v>
      </c>
      <c r="C1474" s="9">
        <v>3</v>
      </c>
      <c r="D1474" s="10" t="s">
        <v>13</v>
      </c>
      <c r="E1474" s="11" t="s">
        <v>1000</v>
      </c>
      <c r="F1474" s="12">
        <v>301</v>
      </c>
      <c r="G1474" s="10" t="s">
        <v>109</v>
      </c>
      <c r="H1474" s="13"/>
      <c r="I1474" s="13"/>
      <c r="J1474" s="10"/>
    </row>
    <row r="1475" spans="1:10" ht="42.75" x14ac:dyDescent="0.2">
      <c r="A1475" s="2" t="s">
        <v>983</v>
      </c>
      <c r="B1475" s="9">
        <v>1</v>
      </c>
      <c r="C1475" s="9">
        <v>3</v>
      </c>
      <c r="D1475" s="10" t="s">
        <v>16</v>
      </c>
      <c r="E1475" s="11" t="s">
        <v>1001</v>
      </c>
      <c r="F1475" s="12">
        <v>1</v>
      </c>
      <c r="G1475" s="10" t="s">
        <v>100</v>
      </c>
      <c r="H1475" s="13"/>
      <c r="I1475" s="13"/>
      <c r="J1475" s="10"/>
    </row>
    <row r="1476" spans="1:10" ht="74.25" x14ac:dyDescent="0.2">
      <c r="A1476" s="2" t="s">
        <v>983</v>
      </c>
      <c r="B1476" s="9">
        <v>1</v>
      </c>
      <c r="C1476" s="9">
        <v>3</v>
      </c>
      <c r="D1476" s="10" t="s">
        <v>18</v>
      </c>
      <c r="E1476" s="11" t="s">
        <v>1002</v>
      </c>
      <c r="F1476" s="12">
        <v>15</v>
      </c>
      <c r="G1476" s="10" t="s">
        <v>109</v>
      </c>
      <c r="H1476" s="13"/>
      <c r="I1476" s="13"/>
      <c r="J1476" s="10"/>
    </row>
    <row r="1477" spans="1:10" ht="42.75" x14ac:dyDescent="0.2">
      <c r="A1477" s="2" t="s">
        <v>983</v>
      </c>
      <c r="B1477" s="9">
        <v>1</v>
      </c>
      <c r="C1477" s="9">
        <v>3</v>
      </c>
      <c r="D1477" s="10" t="s">
        <v>20</v>
      </c>
      <c r="E1477" s="11" t="s">
        <v>1001</v>
      </c>
      <c r="F1477" s="12">
        <v>1</v>
      </c>
      <c r="G1477" s="10" t="s">
        <v>100</v>
      </c>
      <c r="H1477" s="13"/>
      <c r="I1477" s="6"/>
      <c r="J1477" s="10"/>
    </row>
    <row r="1478" spans="1:10" ht="89.25" x14ac:dyDescent="0.2">
      <c r="A1478" s="2" t="s">
        <v>983</v>
      </c>
      <c r="B1478" s="9">
        <v>1</v>
      </c>
      <c r="C1478" s="9">
        <v>3</v>
      </c>
      <c r="D1478" s="10" t="s">
        <v>22</v>
      </c>
      <c r="E1478" s="11" t="s">
        <v>1003</v>
      </c>
      <c r="F1478" s="12">
        <v>702</v>
      </c>
      <c r="G1478" s="10" t="s">
        <v>83</v>
      </c>
      <c r="H1478" s="13"/>
      <c r="I1478" s="13"/>
      <c r="J1478" s="10"/>
    </row>
    <row r="1479" spans="1:10" ht="74.25" x14ac:dyDescent="0.2">
      <c r="A1479" s="2" t="s">
        <v>983</v>
      </c>
      <c r="B1479" s="9">
        <v>1</v>
      </c>
      <c r="C1479" s="9">
        <v>3</v>
      </c>
      <c r="D1479" s="10" t="s">
        <v>24</v>
      </c>
      <c r="E1479" s="11" t="s">
        <v>1004</v>
      </c>
      <c r="F1479" s="12">
        <v>354</v>
      </c>
      <c r="G1479" s="10" t="s">
        <v>109</v>
      </c>
      <c r="H1479" s="13"/>
      <c r="I1479" s="13"/>
      <c r="J1479" s="10"/>
    </row>
    <row r="1480" spans="1:10" x14ac:dyDescent="0.2">
      <c r="A1480" s="1" t="s">
        <v>1005</v>
      </c>
      <c r="B1480" s="1"/>
      <c r="C1480" s="1"/>
      <c r="D1480" s="1"/>
      <c r="E1480" s="1"/>
      <c r="F1480" s="1"/>
      <c r="G1480" s="1"/>
      <c r="H1480" s="1" t="s">
        <v>67</v>
      </c>
      <c r="I1480" s="13">
        <f>I1474+I1475+I1476+I1478+I1479</f>
        <v>0</v>
      </c>
      <c r="J1480" s="1"/>
    </row>
    <row r="1483" spans="1:10" ht="15" x14ac:dyDescent="0.25">
      <c r="A1483" s="21" t="s">
        <v>1006</v>
      </c>
      <c r="B1483" s="22"/>
      <c r="C1483" s="22"/>
      <c r="D1483" s="22"/>
      <c r="E1483" s="22"/>
      <c r="F1483" s="22"/>
      <c r="G1483" s="22"/>
      <c r="H1483" s="22"/>
      <c r="I1483" s="22"/>
      <c r="J1483" s="22"/>
    </row>
    <row r="1484" spans="1:10" ht="15" x14ac:dyDescent="0.25">
      <c r="A1484" s="21" t="s">
        <v>982</v>
      </c>
      <c r="B1484" s="22"/>
      <c r="C1484" s="22"/>
      <c r="D1484" s="22"/>
      <c r="E1484" s="22"/>
      <c r="F1484" s="22"/>
      <c r="G1484" s="22"/>
      <c r="H1484" s="22"/>
      <c r="I1484" s="22"/>
      <c r="J1484" s="22"/>
    </row>
    <row r="1486" spans="1:10" ht="15" x14ac:dyDescent="0.25">
      <c r="A1486" s="3" t="s">
        <v>2</v>
      </c>
      <c r="B1486" s="3" t="s">
        <v>3</v>
      </c>
      <c r="C1486" s="3" t="s">
        <v>4</v>
      </c>
      <c r="D1486" s="3" t="s">
        <v>5</v>
      </c>
      <c r="E1486" s="3" t="s">
        <v>6</v>
      </c>
      <c r="F1486" s="7" t="s">
        <v>7</v>
      </c>
      <c r="G1486" s="3" t="s">
        <v>8</v>
      </c>
      <c r="H1486" s="7" t="s">
        <v>9</v>
      </c>
      <c r="I1486" s="7" t="s">
        <v>10</v>
      </c>
      <c r="J1486" s="3" t="s">
        <v>11</v>
      </c>
    </row>
    <row r="1487" spans="1:10" ht="119.25" x14ac:dyDescent="0.2">
      <c r="A1487" s="2" t="s">
        <v>983</v>
      </c>
      <c r="B1487" s="9">
        <v>1</v>
      </c>
      <c r="C1487" s="9">
        <v>4</v>
      </c>
      <c r="D1487" s="10" t="s">
        <v>13</v>
      </c>
      <c r="E1487" s="11" t="s">
        <v>1007</v>
      </c>
      <c r="F1487" s="12">
        <v>249.00000000000003</v>
      </c>
      <c r="G1487" s="10" t="s">
        <v>109</v>
      </c>
      <c r="H1487" s="13"/>
      <c r="I1487" s="13"/>
      <c r="J1487" s="10"/>
    </row>
    <row r="1488" spans="1:10" x14ac:dyDescent="0.2">
      <c r="A1488" s="2" t="s">
        <v>983</v>
      </c>
      <c r="B1488" s="9">
        <v>1</v>
      </c>
      <c r="C1488" s="9">
        <v>4</v>
      </c>
      <c r="D1488" s="10" t="s">
        <v>16</v>
      </c>
      <c r="E1488" s="11" t="s">
        <v>1008</v>
      </c>
      <c r="F1488" s="12">
        <v>320</v>
      </c>
      <c r="G1488" s="10" t="s">
        <v>83</v>
      </c>
      <c r="H1488" s="13"/>
      <c r="I1488" s="13"/>
      <c r="J1488" s="10"/>
    </row>
    <row r="1489" spans="1:10" ht="74.25" x14ac:dyDescent="0.2">
      <c r="A1489" s="2" t="s">
        <v>983</v>
      </c>
      <c r="B1489" s="9">
        <v>1</v>
      </c>
      <c r="C1489" s="9">
        <v>4</v>
      </c>
      <c r="D1489" s="10" t="s">
        <v>18</v>
      </c>
      <c r="E1489" s="11" t="s">
        <v>1009</v>
      </c>
      <c r="F1489" s="12">
        <v>40</v>
      </c>
      <c r="G1489" s="10" t="s">
        <v>109</v>
      </c>
      <c r="H1489" s="13"/>
      <c r="I1489" s="13"/>
      <c r="J1489" s="10"/>
    </row>
    <row r="1490" spans="1:10" x14ac:dyDescent="0.2">
      <c r="A1490" s="2" t="s">
        <v>983</v>
      </c>
      <c r="B1490" s="9">
        <v>1</v>
      </c>
      <c r="C1490" s="9">
        <v>4</v>
      </c>
      <c r="D1490" s="10" t="s">
        <v>20</v>
      </c>
      <c r="E1490" s="11" t="s">
        <v>1010</v>
      </c>
      <c r="F1490" s="12">
        <v>25</v>
      </c>
      <c r="G1490" s="10" t="s">
        <v>83</v>
      </c>
      <c r="H1490" s="13"/>
      <c r="I1490" s="6"/>
      <c r="J1490" s="10"/>
    </row>
    <row r="1491" spans="1:10" ht="74.25" x14ac:dyDescent="0.2">
      <c r="A1491" s="2" t="s">
        <v>983</v>
      </c>
      <c r="B1491" s="9">
        <v>1</v>
      </c>
      <c r="C1491" s="9">
        <v>4</v>
      </c>
      <c r="D1491" s="10" t="s">
        <v>22</v>
      </c>
      <c r="E1491" s="11" t="s">
        <v>1011</v>
      </c>
      <c r="F1491" s="12">
        <v>10</v>
      </c>
      <c r="G1491" s="10" t="s">
        <v>109</v>
      </c>
      <c r="H1491" s="13"/>
      <c r="I1491" s="13"/>
      <c r="J1491" s="10"/>
    </row>
    <row r="1492" spans="1:10" x14ac:dyDescent="0.2">
      <c r="A1492" s="2" t="s">
        <v>983</v>
      </c>
      <c r="B1492" s="9">
        <v>1</v>
      </c>
      <c r="C1492" s="9">
        <v>4</v>
      </c>
      <c r="D1492" s="10" t="s">
        <v>24</v>
      </c>
      <c r="E1492" s="11" t="s">
        <v>1012</v>
      </c>
      <c r="F1492" s="12">
        <v>28.000000000000004</v>
      </c>
      <c r="G1492" s="10" t="s">
        <v>83</v>
      </c>
      <c r="H1492" s="13"/>
      <c r="I1492" s="13"/>
      <c r="J1492" s="10"/>
    </row>
    <row r="1493" spans="1:10" ht="44.25" x14ac:dyDescent="0.2">
      <c r="A1493" s="2" t="s">
        <v>983</v>
      </c>
      <c r="B1493" s="9">
        <v>1</v>
      </c>
      <c r="C1493" s="9">
        <v>4</v>
      </c>
      <c r="D1493" s="10" t="s">
        <v>27</v>
      </c>
      <c r="E1493" s="11" t="s">
        <v>1013</v>
      </c>
      <c r="F1493" s="12">
        <v>374</v>
      </c>
      <c r="G1493" s="10" t="s">
        <v>83</v>
      </c>
      <c r="H1493" s="13"/>
      <c r="I1493" s="13"/>
      <c r="J1493" s="10"/>
    </row>
    <row r="1494" spans="1:10" ht="89.25" x14ac:dyDescent="0.2">
      <c r="A1494" s="2" t="s">
        <v>983</v>
      </c>
      <c r="B1494" s="9">
        <v>1</v>
      </c>
      <c r="C1494" s="9">
        <v>4</v>
      </c>
      <c r="D1494" s="10" t="s">
        <v>29</v>
      </c>
      <c r="E1494" s="11" t="s">
        <v>1014</v>
      </c>
      <c r="F1494" s="12">
        <v>304</v>
      </c>
      <c r="G1494" s="10" t="s">
        <v>109</v>
      </c>
      <c r="H1494" s="13"/>
      <c r="I1494" s="13"/>
      <c r="J1494" s="10"/>
    </row>
    <row r="1495" spans="1:10" x14ac:dyDescent="0.2">
      <c r="A1495" s="2" t="s">
        <v>983</v>
      </c>
      <c r="B1495" s="9">
        <v>1</v>
      </c>
      <c r="C1495" s="9">
        <v>4</v>
      </c>
      <c r="D1495" s="10" t="s">
        <v>32</v>
      </c>
      <c r="E1495" s="11" t="s">
        <v>1015</v>
      </c>
      <c r="F1495" s="12">
        <v>51</v>
      </c>
      <c r="G1495" s="10" t="s">
        <v>109</v>
      </c>
      <c r="H1495" s="13"/>
      <c r="I1495" s="13"/>
      <c r="J1495" s="10"/>
    </row>
    <row r="1496" spans="1:10" ht="44.25" x14ac:dyDescent="0.2">
      <c r="A1496" s="2" t="s">
        <v>983</v>
      </c>
      <c r="B1496" s="9">
        <v>1</v>
      </c>
      <c r="C1496" s="9">
        <v>4</v>
      </c>
      <c r="D1496" s="10" t="s">
        <v>33</v>
      </c>
      <c r="E1496" s="11" t="s">
        <v>1016</v>
      </c>
      <c r="F1496" s="12">
        <v>374</v>
      </c>
      <c r="G1496" s="10" t="s">
        <v>83</v>
      </c>
      <c r="H1496" s="13"/>
      <c r="I1496" s="13"/>
      <c r="J1496" s="10"/>
    </row>
    <row r="1497" spans="1:10" x14ac:dyDescent="0.2">
      <c r="A1497" s="1" t="s">
        <v>1017</v>
      </c>
      <c r="B1497" s="1"/>
      <c r="C1497" s="1"/>
      <c r="D1497" s="1"/>
      <c r="E1497" s="1"/>
      <c r="F1497" s="1"/>
      <c r="G1497" s="1"/>
      <c r="H1497" s="1" t="s">
        <v>67</v>
      </c>
      <c r="I1497" s="13">
        <f>I1487+I1488+I1489+I1491+I1492+I1493+I1494+I1495+I1496</f>
        <v>0</v>
      </c>
      <c r="J1497" s="1"/>
    </row>
    <row r="1505" spans="1:10" ht="15" x14ac:dyDescent="0.25">
      <c r="A1505" s="3" t="s">
        <v>89</v>
      </c>
      <c r="B1505" s="14"/>
      <c r="C1505" s="14"/>
      <c r="D1505" s="14"/>
      <c r="E1505" s="14"/>
      <c r="F1505" s="14"/>
      <c r="G1505" s="14"/>
      <c r="H1505" s="14"/>
      <c r="I1505" s="7" t="s">
        <v>90</v>
      </c>
    </row>
    <row r="1506" spans="1:10" x14ac:dyDescent="0.2">
      <c r="A1506" s="15" t="s">
        <v>1018</v>
      </c>
      <c r="I1506" s="16">
        <f>I1454</f>
        <v>0</v>
      </c>
    </row>
    <row r="1507" spans="1:10" x14ac:dyDescent="0.2">
      <c r="A1507" s="15" t="s">
        <v>1019</v>
      </c>
      <c r="I1507" s="16">
        <f>I1467</f>
        <v>0</v>
      </c>
    </row>
    <row r="1508" spans="1:10" x14ac:dyDescent="0.2">
      <c r="A1508" s="15" t="s">
        <v>1020</v>
      </c>
      <c r="I1508" s="16">
        <f>I1480</f>
        <v>0</v>
      </c>
    </row>
    <row r="1509" spans="1:10" x14ac:dyDescent="0.2">
      <c r="A1509" s="15" t="s">
        <v>1021</v>
      </c>
      <c r="I1509" s="16">
        <f>I1497</f>
        <v>0</v>
      </c>
    </row>
    <row r="1510" spans="1:10" x14ac:dyDescent="0.2">
      <c r="A1510" s="15"/>
      <c r="I1510" s="15"/>
    </row>
    <row r="1511" spans="1:10" x14ac:dyDescent="0.2">
      <c r="A1511" s="17"/>
      <c r="B1511" s="18"/>
      <c r="C1511" s="18"/>
      <c r="D1511" s="18"/>
      <c r="E1511" s="18"/>
      <c r="F1511" s="18"/>
      <c r="G1511" s="18"/>
      <c r="H1511" s="18"/>
      <c r="I1511" s="17"/>
    </row>
    <row r="1512" spans="1:10" x14ac:dyDescent="0.2">
      <c r="H1512" s="4" t="s">
        <v>95</v>
      </c>
      <c r="I1512" s="13">
        <f>SUM(I1506:I1511)</f>
        <v>0</v>
      </c>
    </row>
    <row r="1516" spans="1:10" ht="15" x14ac:dyDescent="0.25">
      <c r="A1516" s="21" t="s">
        <v>1022</v>
      </c>
      <c r="B1516" s="22"/>
      <c r="C1516" s="22"/>
      <c r="D1516" s="22"/>
      <c r="E1516" s="22"/>
      <c r="F1516" s="22"/>
      <c r="G1516" s="22"/>
      <c r="H1516" s="22"/>
      <c r="I1516" s="22"/>
      <c r="J1516" s="22"/>
    </row>
    <row r="1517" spans="1:10" ht="15" x14ac:dyDescent="0.25">
      <c r="A1517" s="21" t="s">
        <v>1023</v>
      </c>
      <c r="B1517" s="22"/>
      <c r="C1517" s="22"/>
      <c r="D1517" s="22"/>
      <c r="E1517" s="22"/>
      <c r="F1517" s="22"/>
      <c r="G1517" s="22"/>
      <c r="H1517" s="22"/>
      <c r="I1517" s="22"/>
      <c r="J1517" s="22"/>
    </row>
    <row r="1519" spans="1:10" ht="15" x14ac:dyDescent="0.25">
      <c r="A1519" s="3" t="s">
        <v>2</v>
      </c>
      <c r="B1519" s="3" t="s">
        <v>3</v>
      </c>
      <c r="C1519" s="3" t="s">
        <v>4</v>
      </c>
      <c r="D1519" s="3" t="s">
        <v>5</v>
      </c>
      <c r="E1519" s="3" t="s">
        <v>6</v>
      </c>
      <c r="F1519" s="7" t="s">
        <v>7</v>
      </c>
      <c r="G1519" s="3" t="s">
        <v>8</v>
      </c>
      <c r="H1519" s="7" t="s">
        <v>9</v>
      </c>
      <c r="I1519" s="7" t="s">
        <v>10</v>
      </c>
      <c r="J1519" s="3" t="s">
        <v>11</v>
      </c>
    </row>
    <row r="1520" spans="1:10" ht="254.25" x14ac:dyDescent="0.2">
      <c r="A1520" s="2" t="s">
        <v>1024</v>
      </c>
      <c r="B1520" s="9">
        <v>1</v>
      </c>
      <c r="C1520" s="9">
        <v>1</v>
      </c>
      <c r="D1520" s="10" t="s">
        <v>13</v>
      </c>
      <c r="E1520" s="11" t="s">
        <v>1025</v>
      </c>
      <c r="F1520" s="12">
        <v>1</v>
      </c>
      <c r="G1520" s="10" t="s">
        <v>100</v>
      </c>
      <c r="H1520" s="13"/>
      <c r="I1520" s="6"/>
      <c r="J1520" s="10"/>
    </row>
    <row r="1521" spans="1:10" ht="57" x14ac:dyDescent="0.2">
      <c r="A1521" s="2" t="s">
        <v>1024</v>
      </c>
      <c r="B1521" s="9">
        <v>1</v>
      </c>
      <c r="C1521" s="9">
        <v>1</v>
      </c>
      <c r="D1521" s="10" t="s">
        <v>16</v>
      </c>
      <c r="E1521" s="11" t="s">
        <v>1026</v>
      </c>
      <c r="F1521" s="12">
        <v>1</v>
      </c>
      <c r="G1521" s="10" t="s">
        <v>100</v>
      </c>
      <c r="H1521" s="13"/>
      <c r="I1521" s="13"/>
      <c r="J1521" s="10"/>
    </row>
    <row r="1522" spans="1:10" ht="299.25" x14ac:dyDescent="0.2">
      <c r="A1522" s="2" t="s">
        <v>1024</v>
      </c>
      <c r="B1522" s="9">
        <v>1</v>
      </c>
      <c r="C1522" s="9">
        <v>1</v>
      </c>
      <c r="D1522" s="10" t="s">
        <v>18</v>
      </c>
      <c r="E1522" s="11" t="s">
        <v>1027</v>
      </c>
      <c r="F1522" s="12">
        <v>8</v>
      </c>
      <c r="G1522" s="10" t="s">
        <v>124</v>
      </c>
      <c r="H1522" s="13"/>
      <c r="I1522" s="13"/>
      <c r="J1522" s="10"/>
    </row>
    <row r="1523" spans="1:10" x14ac:dyDescent="0.2">
      <c r="A1523" s="2" t="s">
        <v>1024</v>
      </c>
      <c r="B1523" s="9">
        <v>1</v>
      </c>
      <c r="C1523" s="9">
        <v>1</v>
      </c>
      <c r="D1523" s="10" t="s">
        <v>20</v>
      </c>
      <c r="E1523" s="11" t="s">
        <v>1028</v>
      </c>
      <c r="F1523" s="12">
        <v>6</v>
      </c>
      <c r="G1523" s="10" t="s">
        <v>124</v>
      </c>
      <c r="H1523" s="13"/>
      <c r="I1523" s="13"/>
      <c r="J1523" s="10"/>
    </row>
    <row r="1524" spans="1:10" x14ac:dyDescent="0.2">
      <c r="A1524" s="2" t="s">
        <v>1024</v>
      </c>
      <c r="B1524" s="9">
        <v>1</v>
      </c>
      <c r="C1524" s="9">
        <v>1</v>
      </c>
      <c r="D1524" s="10" t="s">
        <v>22</v>
      </c>
      <c r="E1524" s="11" t="s">
        <v>1029</v>
      </c>
      <c r="F1524" s="12">
        <v>4</v>
      </c>
      <c r="G1524" s="10" t="s">
        <v>124</v>
      </c>
      <c r="H1524" s="13"/>
      <c r="I1524" s="13"/>
      <c r="J1524" s="10"/>
    </row>
    <row r="1525" spans="1:10" ht="72.75" x14ac:dyDescent="0.2">
      <c r="A1525" s="2" t="s">
        <v>1024</v>
      </c>
      <c r="B1525" s="9">
        <v>1</v>
      </c>
      <c r="C1525" s="9">
        <v>1</v>
      </c>
      <c r="D1525" s="10" t="s">
        <v>24</v>
      </c>
      <c r="E1525" s="11" t="s">
        <v>1030</v>
      </c>
      <c r="F1525" s="12">
        <v>5</v>
      </c>
      <c r="G1525" s="10" t="s">
        <v>124</v>
      </c>
      <c r="H1525" s="13"/>
      <c r="I1525" s="13"/>
      <c r="J1525" s="10"/>
    </row>
    <row r="1526" spans="1:10" ht="74.25" x14ac:dyDescent="0.2">
      <c r="A1526" s="2" t="s">
        <v>1024</v>
      </c>
      <c r="B1526" s="9">
        <v>1</v>
      </c>
      <c r="C1526" s="9">
        <v>1</v>
      </c>
      <c r="D1526" s="10" t="s">
        <v>27</v>
      </c>
      <c r="E1526" s="11" t="s">
        <v>1031</v>
      </c>
      <c r="F1526" s="12">
        <v>2</v>
      </c>
      <c r="G1526" s="10" t="s">
        <v>124</v>
      </c>
      <c r="H1526" s="13"/>
      <c r="I1526" s="13"/>
      <c r="J1526" s="10"/>
    </row>
    <row r="1527" spans="1:10" ht="72.75" x14ac:dyDescent="0.2">
      <c r="A1527" s="2" t="s">
        <v>1024</v>
      </c>
      <c r="B1527" s="9">
        <v>1</v>
      </c>
      <c r="C1527" s="9">
        <v>1</v>
      </c>
      <c r="D1527" s="10" t="s">
        <v>29</v>
      </c>
      <c r="E1527" s="11" t="s">
        <v>1032</v>
      </c>
      <c r="F1527" s="12">
        <v>1</v>
      </c>
      <c r="G1527" s="10" t="s">
        <v>124</v>
      </c>
      <c r="H1527" s="13"/>
      <c r="I1527" s="13"/>
      <c r="J1527" s="10"/>
    </row>
    <row r="1528" spans="1:10" ht="44.25" x14ac:dyDescent="0.2">
      <c r="A1528" s="2" t="s">
        <v>1024</v>
      </c>
      <c r="B1528" s="9">
        <v>1</v>
      </c>
      <c r="C1528" s="9">
        <v>1</v>
      </c>
      <c r="D1528" s="10" t="s">
        <v>33</v>
      </c>
      <c r="E1528" s="11" t="s">
        <v>1033</v>
      </c>
      <c r="F1528" s="12">
        <v>1</v>
      </c>
      <c r="G1528" s="10" t="s">
        <v>100</v>
      </c>
      <c r="H1528" s="13"/>
      <c r="I1528" s="13"/>
      <c r="J1528" s="10"/>
    </row>
    <row r="1529" spans="1:10" x14ac:dyDescent="0.2">
      <c r="A1529" s="1" t="s">
        <v>1034</v>
      </c>
      <c r="B1529" s="1"/>
      <c r="C1529" s="1"/>
      <c r="D1529" s="1"/>
      <c r="E1529" s="1"/>
      <c r="F1529" s="1"/>
      <c r="G1529" s="1"/>
      <c r="H1529" s="1" t="s">
        <v>67</v>
      </c>
      <c r="I1529" s="13">
        <f>I1521+I1522+I1523+I1524+I1525+I1526+I1527+I1528</f>
        <v>0</v>
      </c>
      <c r="J1529" s="1"/>
    </row>
    <row r="1532" spans="1:10" ht="15" x14ac:dyDescent="0.25">
      <c r="A1532" s="21" t="s">
        <v>1035</v>
      </c>
      <c r="B1532" s="22"/>
      <c r="C1532" s="22"/>
      <c r="D1532" s="22"/>
      <c r="E1532" s="22"/>
      <c r="F1532" s="22"/>
      <c r="G1532" s="22"/>
      <c r="H1532" s="22"/>
      <c r="I1532" s="22"/>
      <c r="J1532" s="22"/>
    </row>
    <row r="1533" spans="1:10" ht="15" x14ac:dyDescent="0.25">
      <c r="A1533" s="21" t="s">
        <v>1023</v>
      </c>
      <c r="B1533" s="22"/>
      <c r="C1533" s="22"/>
      <c r="D1533" s="22"/>
      <c r="E1533" s="22"/>
      <c r="F1533" s="22"/>
      <c r="G1533" s="22"/>
      <c r="H1533" s="22"/>
      <c r="I1533" s="22"/>
      <c r="J1533" s="22"/>
    </row>
    <row r="1535" spans="1:10" ht="15" x14ac:dyDescent="0.25">
      <c r="A1535" s="3" t="s">
        <v>2</v>
      </c>
      <c r="B1535" s="3" t="s">
        <v>3</v>
      </c>
      <c r="C1535" s="3" t="s">
        <v>4</v>
      </c>
      <c r="D1535" s="3" t="s">
        <v>5</v>
      </c>
      <c r="E1535" s="3" t="s">
        <v>6</v>
      </c>
      <c r="F1535" s="7" t="s">
        <v>7</v>
      </c>
      <c r="G1535" s="3" t="s">
        <v>8</v>
      </c>
      <c r="H1535" s="7" t="s">
        <v>9</v>
      </c>
      <c r="I1535" s="7" t="s">
        <v>10</v>
      </c>
      <c r="J1535" s="3" t="s">
        <v>11</v>
      </c>
    </row>
    <row r="1536" spans="1:10" ht="74.25" x14ac:dyDescent="0.2">
      <c r="A1536" s="2" t="s">
        <v>1024</v>
      </c>
      <c r="B1536" s="9">
        <v>1</v>
      </c>
      <c r="C1536" s="9">
        <v>2</v>
      </c>
      <c r="D1536" s="10" t="s">
        <v>13</v>
      </c>
      <c r="E1536" s="11" t="s">
        <v>1036</v>
      </c>
      <c r="F1536" s="12">
        <v>1</v>
      </c>
      <c r="G1536" s="10" t="s">
        <v>100</v>
      </c>
      <c r="H1536" s="13"/>
      <c r="I1536" s="6"/>
      <c r="J1536" s="10"/>
    </row>
    <row r="1537" spans="1:10" ht="129.75" x14ac:dyDescent="0.2">
      <c r="A1537" s="2" t="s">
        <v>1024</v>
      </c>
      <c r="B1537" s="9">
        <v>1</v>
      </c>
      <c r="C1537" s="9">
        <v>2</v>
      </c>
      <c r="D1537" s="10" t="s">
        <v>16</v>
      </c>
      <c r="E1537" s="11" t="s">
        <v>1037</v>
      </c>
      <c r="F1537" s="12">
        <v>1</v>
      </c>
      <c r="G1537" s="10" t="s">
        <v>100</v>
      </c>
      <c r="H1537" s="13"/>
      <c r="I1537" s="13"/>
      <c r="J1537" s="10"/>
    </row>
    <row r="1538" spans="1:10" ht="44.25" x14ac:dyDescent="0.2">
      <c r="A1538" s="2" t="s">
        <v>1024</v>
      </c>
      <c r="B1538" s="9">
        <v>1</v>
      </c>
      <c r="C1538" s="9">
        <v>2</v>
      </c>
      <c r="D1538" s="10" t="s">
        <v>18</v>
      </c>
      <c r="E1538" s="11" t="s">
        <v>1038</v>
      </c>
      <c r="F1538" s="12">
        <v>1</v>
      </c>
      <c r="G1538" s="10" t="s">
        <v>100</v>
      </c>
      <c r="H1538" s="13"/>
      <c r="I1538" s="6"/>
      <c r="J1538" s="10"/>
    </row>
    <row r="1539" spans="1:10" ht="101.25" x14ac:dyDescent="0.2">
      <c r="A1539" s="2" t="s">
        <v>1024</v>
      </c>
      <c r="B1539" s="9">
        <v>1</v>
      </c>
      <c r="C1539" s="9">
        <v>2</v>
      </c>
      <c r="D1539" s="10" t="s">
        <v>20</v>
      </c>
      <c r="E1539" s="11" t="s">
        <v>1039</v>
      </c>
      <c r="F1539" s="12">
        <v>1</v>
      </c>
      <c r="G1539" s="10" t="s">
        <v>100</v>
      </c>
      <c r="H1539" s="13"/>
      <c r="I1539" s="6"/>
      <c r="J1539" s="10"/>
    </row>
    <row r="1540" spans="1:10" ht="87" x14ac:dyDescent="0.2">
      <c r="A1540" s="2" t="s">
        <v>1024</v>
      </c>
      <c r="B1540" s="9">
        <v>1</v>
      </c>
      <c r="C1540" s="9">
        <v>2</v>
      </c>
      <c r="D1540" s="10" t="s">
        <v>22</v>
      </c>
      <c r="E1540" s="11" t="s">
        <v>1040</v>
      </c>
      <c r="F1540" s="12">
        <v>1</v>
      </c>
      <c r="G1540" s="10" t="s">
        <v>100</v>
      </c>
      <c r="H1540" s="13"/>
      <c r="I1540" s="6"/>
      <c r="J1540" s="10"/>
    </row>
    <row r="1541" spans="1:10" x14ac:dyDescent="0.2">
      <c r="A1541" s="2" t="s">
        <v>1024</v>
      </c>
      <c r="B1541" s="9">
        <v>1</v>
      </c>
      <c r="C1541" s="9">
        <v>2</v>
      </c>
      <c r="D1541" s="10" t="s">
        <v>24</v>
      </c>
      <c r="E1541" s="11" t="s">
        <v>1041</v>
      </c>
      <c r="F1541" s="12">
        <v>0</v>
      </c>
      <c r="G1541" s="10" t="s">
        <v>258</v>
      </c>
      <c r="H1541" s="13"/>
      <c r="I1541" s="13"/>
      <c r="J1541" s="10"/>
    </row>
    <row r="1542" spans="1:10" x14ac:dyDescent="0.2">
      <c r="A1542" s="2" t="s">
        <v>1024</v>
      </c>
      <c r="B1542" s="9">
        <v>1</v>
      </c>
      <c r="C1542" s="9">
        <v>2</v>
      </c>
      <c r="D1542" s="10" t="s">
        <v>27</v>
      </c>
      <c r="E1542" s="11" t="s">
        <v>1042</v>
      </c>
      <c r="F1542" s="12">
        <v>5</v>
      </c>
      <c r="G1542" s="10" t="s">
        <v>258</v>
      </c>
      <c r="H1542" s="13"/>
      <c r="I1542" s="13"/>
      <c r="J1542" s="10"/>
    </row>
    <row r="1543" spans="1:10" x14ac:dyDescent="0.2">
      <c r="A1543" s="2" t="s">
        <v>1024</v>
      </c>
      <c r="B1543" s="9">
        <v>1</v>
      </c>
      <c r="C1543" s="9">
        <v>2</v>
      </c>
      <c r="D1543" s="10" t="s">
        <v>29</v>
      </c>
      <c r="E1543" s="11" t="s">
        <v>1043</v>
      </c>
      <c r="F1543" s="12">
        <v>33</v>
      </c>
      <c r="G1543" s="10" t="s">
        <v>258</v>
      </c>
      <c r="H1543" s="13"/>
      <c r="I1543" s="13"/>
      <c r="J1543" s="10"/>
    </row>
    <row r="1544" spans="1:10" x14ac:dyDescent="0.2">
      <c r="A1544" s="2" t="s">
        <v>1024</v>
      </c>
      <c r="B1544" s="9">
        <v>1</v>
      </c>
      <c r="C1544" s="9">
        <v>2</v>
      </c>
      <c r="D1544" s="10" t="s">
        <v>309</v>
      </c>
      <c r="E1544" s="11" t="s">
        <v>1044</v>
      </c>
      <c r="F1544" s="12">
        <v>26</v>
      </c>
      <c r="G1544" s="10" t="s">
        <v>258</v>
      </c>
      <c r="H1544" s="13"/>
      <c r="I1544" s="13"/>
      <c r="J1544" s="10"/>
    </row>
    <row r="1545" spans="1:10" x14ac:dyDescent="0.2">
      <c r="A1545" s="2" t="s">
        <v>1024</v>
      </c>
      <c r="B1545" s="9">
        <v>1</v>
      </c>
      <c r="C1545" s="9">
        <v>2</v>
      </c>
      <c r="D1545" s="10" t="s">
        <v>32</v>
      </c>
      <c r="E1545" s="11" t="s">
        <v>1045</v>
      </c>
      <c r="F1545" s="12">
        <v>5</v>
      </c>
      <c r="G1545" s="10" t="s">
        <v>258</v>
      </c>
      <c r="H1545" s="13"/>
      <c r="I1545" s="13"/>
      <c r="J1545" s="10"/>
    </row>
    <row r="1546" spans="1:10" x14ac:dyDescent="0.2">
      <c r="A1546" s="2" t="s">
        <v>1024</v>
      </c>
      <c r="B1546" s="9">
        <v>1</v>
      </c>
      <c r="C1546" s="9">
        <v>2</v>
      </c>
      <c r="D1546" s="10" t="s">
        <v>33</v>
      </c>
      <c r="E1546" s="11" t="s">
        <v>1046</v>
      </c>
      <c r="F1546" s="12">
        <v>0</v>
      </c>
      <c r="G1546" s="10" t="s">
        <v>258</v>
      </c>
      <c r="H1546" s="13"/>
      <c r="I1546" s="13"/>
      <c r="J1546" s="10"/>
    </row>
    <row r="1547" spans="1:10" x14ac:dyDescent="0.2">
      <c r="A1547" s="2" t="s">
        <v>1024</v>
      </c>
      <c r="B1547" s="9">
        <v>1</v>
      </c>
      <c r="C1547" s="9">
        <v>2</v>
      </c>
      <c r="D1547" s="10" t="s">
        <v>34</v>
      </c>
      <c r="E1547" s="11" t="s">
        <v>1047</v>
      </c>
      <c r="F1547" s="12">
        <v>37</v>
      </c>
      <c r="G1547" s="10" t="s">
        <v>258</v>
      </c>
      <c r="H1547" s="13"/>
      <c r="I1547" s="13"/>
      <c r="J1547" s="10"/>
    </row>
    <row r="1548" spans="1:10" x14ac:dyDescent="0.2">
      <c r="A1548" s="2" t="s">
        <v>1024</v>
      </c>
      <c r="B1548" s="9">
        <v>1</v>
      </c>
      <c r="C1548" s="9">
        <v>2</v>
      </c>
      <c r="D1548" s="10" t="s">
        <v>35</v>
      </c>
      <c r="E1548" s="11" t="s">
        <v>1048</v>
      </c>
      <c r="F1548" s="12">
        <v>4</v>
      </c>
      <c r="G1548" s="10" t="s">
        <v>258</v>
      </c>
      <c r="H1548" s="13"/>
      <c r="I1548" s="13"/>
      <c r="J1548" s="10"/>
    </row>
    <row r="1549" spans="1:10" x14ac:dyDescent="0.2">
      <c r="A1549" s="2" t="s">
        <v>1024</v>
      </c>
      <c r="B1549" s="9">
        <v>1</v>
      </c>
      <c r="C1549" s="9">
        <v>2</v>
      </c>
      <c r="D1549" s="10" t="s">
        <v>36</v>
      </c>
      <c r="E1549" s="11" t="s">
        <v>1049</v>
      </c>
      <c r="F1549" s="12">
        <v>0</v>
      </c>
      <c r="G1549" s="10" t="s">
        <v>258</v>
      </c>
      <c r="H1549" s="13"/>
      <c r="I1549" s="13"/>
      <c r="J1549" s="10"/>
    </row>
    <row r="1550" spans="1:10" x14ac:dyDescent="0.2">
      <c r="A1550" s="2" t="s">
        <v>1024</v>
      </c>
      <c r="B1550" s="9">
        <v>1</v>
      </c>
      <c r="C1550" s="9">
        <v>2</v>
      </c>
      <c r="D1550" s="10" t="s">
        <v>38</v>
      </c>
      <c r="E1550" s="11" t="s">
        <v>1050</v>
      </c>
      <c r="F1550" s="12">
        <v>12</v>
      </c>
      <c r="G1550" s="10" t="s">
        <v>258</v>
      </c>
      <c r="H1550" s="13"/>
      <c r="I1550" s="13"/>
      <c r="J1550" s="10"/>
    </row>
    <row r="1551" spans="1:10" ht="74.25" x14ac:dyDescent="0.2">
      <c r="A1551" s="2" t="s">
        <v>1024</v>
      </c>
      <c r="B1551" s="9">
        <v>1</v>
      </c>
      <c r="C1551" s="9">
        <v>2</v>
      </c>
      <c r="D1551" s="10" t="s">
        <v>40</v>
      </c>
      <c r="E1551" s="11" t="s">
        <v>1051</v>
      </c>
      <c r="F1551" s="12">
        <v>1</v>
      </c>
      <c r="G1551" s="10" t="s">
        <v>258</v>
      </c>
      <c r="H1551" s="13"/>
      <c r="I1551" s="13"/>
      <c r="J1551" s="10"/>
    </row>
    <row r="1552" spans="1:10" x14ac:dyDescent="0.2">
      <c r="A1552" s="2" t="s">
        <v>1024</v>
      </c>
      <c r="B1552" s="9">
        <v>1</v>
      </c>
      <c r="C1552" s="9">
        <v>2</v>
      </c>
      <c r="D1552" s="10" t="s">
        <v>42</v>
      </c>
      <c r="E1552" s="11" t="s">
        <v>1052</v>
      </c>
      <c r="F1552" s="12">
        <v>1</v>
      </c>
      <c r="G1552" s="10" t="s">
        <v>258</v>
      </c>
      <c r="H1552" s="13"/>
      <c r="I1552" s="13"/>
      <c r="J1552" s="10"/>
    </row>
    <row r="1553" spans="1:10" x14ac:dyDescent="0.2">
      <c r="A1553" s="2" t="s">
        <v>1024</v>
      </c>
      <c r="B1553" s="9">
        <v>1</v>
      </c>
      <c r="C1553" s="9">
        <v>2</v>
      </c>
      <c r="D1553" s="10" t="s">
        <v>44</v>
      </c>
      <c r="E1553" s="11" t="s">
        <v>1053</v>
      </c>
      <c r="F1553" s="12">
        <v>5</v>
      </c>
      <c r="G1553" s="10" t="s">
        <v>258</v>
      </c>
      <c r="H1553" s="13"/>
      <c r="I1553" s="13"/>
      <c r="J1553" s="10"/>
    </row>
    <row r="1554" spans="1:10" x14ac:dyDescent="0.2">
      <c r="A1554" s="2" t="s">
        <v>1024</v>
      </c>
      <c r="B1554" s="9">
        <v>1</v>
      </c>
      <c r="C1554" s="9">
        <v>2</v>
      </c>
      <c r="D1554" s="10" t="s">
        <v>46</v>
      </c>
      <c r="E1554" s="11" t="s">
        <v>1054</v>
      </c>
      <c r="F1554" s="12">
        <v>3</v>
      </c>
      <c r="G1554" s="10" t="s">
        <v>258</v>
      </c>
      <c r="H1554" s="13"/>
      <c r="I1554" s="13"/>
      <c r="J1554" s="10"/>
    </row>
    <row r="1555" spans="1:10" x14ac:dyDescent="0.2">
      <c r="A1555" s="2" t="s">
        <v>1024</v>
      </c>
      <c r="B1555" s="9">
        <v>1</v>
      </c>
      <c r="C1555" s="9">
        <v>2</v>
      </c>
      <c r="D1555" s="10" t="s">
        <v>47</v>
      </c>
      <c r="E1555" s="11" t="s">
        <v>1055</v>
      </c>
      <c r="F1555" s="12">
        <v>18</v>
      </c>
      <c r="G1555" s="10" t="s">
        <v>258</v>
      </c>
      <c r="H1555" s="13"/>
      <c r="I1555" s="13"/>
      <c r="J1555" s="10"/>
    </row>
    <row r="1556" spans="1:10" x14ac:dyDescent="0.2">
      <c r="A1556" s="2" t="s">
        <v>1024</v>
      </c>
      <c r="B1556" s="9">
        <v>1</v>
      </c>
      <c r="C1556" s="9">
        <v>2</v>
      </c>
      <c r="D1556" s="10" t="s">
        <v>48</v>
      </c>
      <c r="E1556" s="11" t="s">
        <v>1056</v>
      </c>
      <c r="F1556" s="12">
        <v>5</v>
      </c>
      <c r="G1556" s="10" t="s">
        <v>258</v>
      </c>
      <c r="H1556" s="13"/>
      <c r="I1556" s="13"/>
      <c r="J1556" s="10"/>
    </row>
    <row r="1557" spans="1:10" x14ac:dyDescent="0.2">
      <c r="A1557" s="2" t="s">
        <v>1024</v>
      </c>
      <c r="B1557" s="9">
        <v>1</v>
      </c>
      <c r="C1557" s="9">
        <v>2</v>
      </c>
      <c r="D1557" s="10" t="s">
        <v>50</v>
      </c>
      <c r="E1557" s="11" t="s">
        <v>1057</v>
      </c>
      <c r="F1557" s="12">
        <v>1</v>
      </c>
      <c r="G1557" s="10" t="s">
        <v>258</v>
      </c>
      <c r="H1557" s="13"/>
      <c r="I1557" s="13"/>
      <c r="J1557" s="10"/>
    </row>
    <row r="1558" spans="1:10" x14ac:dyDescent="0.2">
      <c r="A1558" s="2" t="s">
        <v>1024</v>
      </c>
      <c r="B1558" s="9">
        <v>1</v>
      </c>
      <c r="C1558" s="9">
        <v>2</v>
      </c>
      <c r="D1558" s="10" t="s">
        <v>52</v>
      </c>
      <c r="E1558" s="11" t="s">
        <v>1058</v>
      </c>
      <c r="F1558" s="12">
        <v>10</v>
      </c>
      <c r="G1558" s="10" t="s">
        <v>258</v>
      </c>
      <c r="H1558" s="13"/>
      <c r="I1558" s="13"/>
      <c r="J1558" s="10"/>
    </row>
    <row r="1559" spans="1:10" x14ac:dyDescent="0.2">
      <c r="A1559" s="2" t="s">
        <v>1024</v>
      </c>
      <c r="B1559" s="9">
        <v>1</v>
      </c>
      <c r="C1559" s="9">
        <v>2</v>
      </c>
      <c r="D1559" s="10" t="s">
        <v>54</v>
      </c>
      <c r="E1559" s="11" t="s">
        <v>1059</v>
      </c>
      <c r="F1559" s="12">
        <v>10</v>
      </c>
      <c r="G1559" s="10" t="s">
        <v>258</v>
      </c>
      <c r="H1559" s="13"/>
      <c r="I1559" s="13"/>
      <c r="J1559" s="10"/>
    </row>
    <row r="1560" spans="1:10" x14ac:dyDescent="0.2">
      <c r="A1560" s="2" t="s">
        <v>1024</v>
      </c>
      <c r="B1560" s="9">
        <v>1</v>
      </c>
      <c r="C1560" s="9">
        <v>2</v>
      </c>
      <c r="D1560" s="10" t="s">
        <v>56</v>
      </c>
      <c r="E1560" s="11" t="s">
        <v>1060</v>
      </c>
      <c r="F1560" s="12">
        <v>10</v>
      </c>
      <c r="G1560" s="10" t="s">
        <v>258</v>
      </c>
      <c r="H1560" s="13"/>
      <c r="I1560" s="13"/>
      <c r="J1560" s="10"/>
    </row>
    <row r="1561" spans="1:10" ht="44.25" x14ac:dyDescent="0.2">
      <c r="A1561" s="2" t="s">
        <v>1024</v>
      </c>
      <c r="B1561" s="9">
        <v>1</v>
      </c>
      <c r="C1561" s="9">
        <v>2</v>
      </c>
      <c r="D1561" s="10" t="s">
        <v>57</v>
      </c>
      <c r="E1561" s="11" t="s">
        <v>1061</v>
      </c>
      <c r="F1561" s="12">
        <v>1</v>
      </c>
      <c r="G1561" s="10" t="s">
        <v>100</v>
      </c>
      <c r="H1561" s="13"/>
      <c r="I1561" s="13"/>
      <c r="J1561" s="10"/>
    </row>
    <row r="1562" spans="1:10" x14ac:dyDescent="0.2">
      <c r="A1562" s="2" t="s">
        <v>1024</v>
      </c>
      <c r="B1562" s="9">
        <v>1</v>
      </c>
      <c r="C1562" s="9">
        <v>2</v>
      </c>
      <c r="D1562" s="10" t="s">
        <v>59</v>
      </c>
      <c r="E1562" s="11" t="s">
        <v>1062</v>
      </c>
      <c r="F1562" s="12">
        <v>1</v>
      </c>
      <c r="G1562" s="10" t="s">
        <v>100</v>
      </c>
      <c r="H1562" s="13"/>
      <c r="I1562" s="6"/>
      <c r="J1562" s="10"/>
    </row>
    <row r="1563" spans="1:10" ht="44.25" x14ac:dyDescent="0.2">
      <c r="A1563" s="2" t="s">
        <v>1024</v>
      </c>
      <c r="B1563" s="9">
        <v>1</v>
      </c>
      <c r="C1563" s="9">
        <v>2</v>
      </c>
      <c r="D1563" s="10" t="s">
        <v>251</v>
      </c>
      <c r="E1563" s="11" t="s">
        <v>1063</v>
      </c>
      <c r="F1563" s="12">
        <v>1</v>
      </c>
      <c r="G1563" s="10" t="s">
        <v>100</v>
      </c>
      <c r="H1563" s="13"/>
      <c r="I1563" s="6"/>
      <c r="J1563" s="10"/>
    </row>
    <row r="1564" spans="1:10" ht="101.25" x14ac:dyDescent="0.2">
      <c r="A1564" s="2" t="s">
        <v>1024</v>
      </c>
      <c r="B1564" s="9">
        <v>1</v>
      </c>
      <c r="C1564" s="9">
        <v>2</v>
      </c>
      <c r="D1564" s="10" t="s">
        <v>253</v>
      </c>
      <c r="E1564" s="11" t="s">
        <v>1064</v>
      </c>
      <c r="F1564" s="12">
        <v>1</v>
      </c>
      <c r="G1564" s="10" t="s">
        <v>100</v>
      </c>
      <c r="H1564" s="13"/>
      <c r="I1564" s="13"/>
      <c r="J1564" s="10"/>
    </row>
    <row r="1565" spans="1:10" ht="87" x14ac:dyDescent="0.2">
      <c r="A1565" s="2" t="s">
        <v>1024</v>
      </c>
      <c r="B1565" s="9">
        <v>1</v>
      </c>
      <c r="C1565" s="9">
        <v>2</v>
      </c>
      <c r="D1565" s="10" t="s">
        <v>1065</v>
      </c>
      <c r="E1565" s="11" t="s">
        <v>1066</v>
      </c>
      <c r="F1565" s="12">
        <v>1</v>
      </c>
      <c r="G1565" s="10" t="s">
        <v>100</v>
      </c>
      <c r="H1565" s="13"/>
      <c r="I1565" s="13"/>
      <c r="J1565" s="10"/>
    </row>
    <row r="1566" spans="1:10" ht="44.25" x14ac:dyDescent="0.2">
      <c r="A1566" s="2" t="s">
        <v>1024</v>
      </c>
      <c r="B1566" s="9">
        <v>1</v>
      </c>
      <c r="C1566" s="9">
        <v>2</v>
      </c>
      <c r="D1566" s="10" t="s">
        <v>1067</v>
      </c>
      <c r="E1566" s="11" t="s">
        <v>1068</v>
      </c>
      <c r="F1566" s="12">
        <v>1</v>
      </c>
      <c r="G1566" s="10" t="s">
        <v>100</v>
      </c>
      <c r="H1566" s="13"/>
      <c r="I1566" s="13"/>
      <c r="J1566" s="10"/>
    </row>
    <row r="1567" spans="1:10" x14ac:dyDescent="0.2">
      <c r="A1567" s="2" t="s">
        <v>1024</v>
      </c>
      <c r="B1567" s="9">
        <v>1</v>
      </c>
      <c r="C1567" s="9">
        <v>2</v>
      </c>
      <c r="D1567" s="10" t="s">
        <v>1069</v>
      </c>
      <c r="E1567" s="11" t="s">
        <v>1070</v>
      </c>
      <c r="F1567" s="12">
        <v>1</v>
      </c>
      <c r="G1567" s="10" t="s">
        <v>100</v>
      </c>
      <c r="H1567" s="13"/>
      <c r="I1567" s="6"/>
      <c r="J1567" s="10"/>
    </row>
    <row r="1568" spans="1:10" x14ac:dyDescent="0.2">
      <c r="A1568" s="1" t="s">
        <v>1071</v>
      </c>
      <c r="B1568" s="1"/>
      <c r="C1568" s="1"/>
      <c r="D1568" s="1"/>
      <c r="E1568" s="1"/>
      <c r="F1568" s="1"/>
      <c r="G1568" s="1"/>
      <c r="H1568" s="1" t="s">
        <v>67</v>
      </c>
      <c r="I1568" s="13">
        <f>I1537+I1541+I1542+I1543+I1544+I1545+I1546+I1547+I1548+I1549+I1550+I1551+I1552+I1553+I1554+I1555+I1556+I1557+I1558+I1559+I1560+I1561+I1564+I1565+I1566</f>
        <v>0</v>
      </c>
      <c r="J1568" s="1"/>
    </row>
    <row r="1576" spans="1:9" ht="15" x14ac:dyDescent="0.25">
      <c r="A1576" s="3" t="s">
        <v>89</v>
      </c>
      <c r="B1576" s="14"/>
      <c r="C1576" s="14"/>
      <c r="D1576" s="14"/>
      <c r="E1576" s="14"/>
      <c r="F1576" s="14"/>
      <c r="G1576" s="14"/>
      <c r="H1576" s="14"/>
      <c r="I1576" s="7" t="s">
        <v>90</v>
      </c>
    </row>
    <row r="1577" spans="1:9" x14ac:dyDescent="0.2">
      <c r="A1577" s="15" t="s">
        <v>1072</v>
      </c>
      <c r="I1577" s="16">
        <f>I1529</f>
        <v>0</v>
      </c>
    </row>
    <row r="1578" spans="1:9" x14ac:dyDescent="0.2">
      <c r="A1578" s="15" t="s">
        <v>1073</v>
      </c>
      <c r="I1578" s="16">
        <f>I1568</f>
        <v>0</v>
      </c>
    </row>
    <row r="1579" spans="1:9" x14ac:dyDescent="0.2">
      <c r="A1579" s="15"/>
      <c r="I1579" s="15"/>
    </row>
    <row r="1580" spans="1:9" x14ac:dyDescent="0.2">
      <c r="A1580" s="17"/>
      <c r="B1580" s="18"/>
      <c r="C1580" s="18"/>
      <c r="D1580" s="18"/>
      <c r="E1580" s="18"/>
      <c r="F1580" s="18"/>
      <c r="G1580" s="18"/>
      <c r="H1580" s="18"/>
      <c r="I1580" s="17"/>
    </row>
    <row r="1581" spans="1:9" x14ac:dyDescent="0.2">
      <c r="H1581" s="4" t="s">
        <v>95</v>
      </c>
      <c r="I1581" s="13">
        <f>SUM(I1577:I1580)</f>
        <v>0</v>
      </c>
    </row>
    <row r="1585" spans="1:10" ht="15" x14ac:dyDescent="0.25">
      <c r="A1585" s="21" t="s">
        <v>1074</v>
      </c>
      <c r="B1585" s="22"/>
      <c r="C1585" s="22"/>
      <c r="D1585" s="22"/>
      <c r="E1585" s="22"/>
      <c r="F1585" s="22"/>
      <c r="G1585" s="22"/>
      <c r="H1585" s="22"/>
      <c r="I1585" s="22"/>
      <c r="J1585" s="22"/>
    </row>
    <row r="1586" spans="1:10" ht="15" x14ac:dyDescent="0.25">
      <c r="A1586" s="21" t="s">
        <v>1075</v>
      </c>
      <c r="B1586" s="22"/>
      <c r="C1586" s="22"/>
      <c r="D1586" s="22"/>
      <c r="E1586" s="22"/>
      <c r="F1586" s="22"/>
      <c r="G1586" s="22"/>
      <c r="H1586" s="22"/>
      <c r="I1586" s="22"/>
      <c r="J1586" s="22"/>
    </row>
    <row r="1588" spans="1:10" ht="15" x14ac:dyDescent="0.25">
      <c r="A1588" s="3" t="s">
        <v>2</v>
      </c>
      <c r="B1588" s="3" t="s">
        <v>3</v>
      </c>
      <c r="C1588" s="3" t="s">
        <v>4</v>
      </c>
      <c r="D1588" s="3" t="s">
        <v>5</v>
      </c>
      <c r="E1588" s="3" t="s">
        <v>6</v>
      </c>
      <c r="F1588" s="7" t="s">
        <v>7</v>
      </c>
      <c r="G1588" s="3" t="s">
        <v>8</v>
      </c>
      <c r="H1588" s="7" t="s">
        <v>9</v>
      </c>
      <c r="I1588" s="7" t="s">
        <v>10</v>
      </c>
      <c r="J1588" s="3" t="s">
        <v>11</v>
      </c>
    </row>
    <row r="1589" spans="1:10" ht="104.25" x14ac:dyDescent="0.2">
      <c r="A1589" s="2" t="s">
        <v>1076</v>
      </c>
      <c r="B1589" s="9">
        <v>1</v>
      </c>
      <c r="C1589" s="9">
        <v>1</v>
      </c>
      <c r="D1589" s="10" t="s">
        <v>13</v>
      </c>
      <c r="E1589" s="11" t="s">
        <v>1077</v>
      </c>
      <c r="F1589" s="12">
        <v>1</v>
      </c>
      <c r="G1589" s="10" t="s">
        <v>127</v>
      </c>
      <c r="H1589" s="13"/>
      <c r="I1589" s="6"/>
      <c r="J1589" s="10"/>
    </row>
    <row r="1590" spans="1:10" ht="58.5" x14ac:dyDescent="0.2">
      <c r="A1590" s="2" t="s">
        <v>1076</v>
      </c>
      <c r="B1590" s="9">
        <v>1</v>
      </c>
      <c r="C1590" s="9">
        <v>1</v>
      </c>
      <c r="D1590" s="10" t="s">
        <v>16</v>
      </c>
      <c r="E1590" s="11" t="s">
        <v>1078</v>
      </c>
      <c r="F1590" s="12">
        <v>18</v>
      </c>
      <c r="G1590" s="10" t="s">
        <v>124</v>
      </c>
      <c r="H1590" s="13"/>
      <c r="I1590" s="6"/>
      <c r="J1590" s="10"/>
    </row>
    <row r="1591" spans="1:10" ht="73.5" x14ac:dyDescent="0.2">
      <c r="A1591" s="2" t="s">
        <v>1076</v>
      </c>
      <c r="B1591" s="9">
        <v>1</v>
      </c>
      <c r="C1591" s="9">
        <v>1</v>
      </c>
      <c r="D1591" s="10" t="s">
        <v>18</v>
      </c>
      <c r="E1591" s="11" t="s">
        <v>1079</v>
      </c>
      <c r="F1591" s="12">
        <v>5</v>
      </c>
      <c r="G1591" s="10" t="s">
        <v>124</v>
      </c>
      <c r="H1591" s="13"/>
      <c r="I1591" s="6"/>
      <c r="J1591" s="10"/>
    </row>
    <row r="1592" spans="1:10" ht="173.25" x14ac:dyDescent="0.2">
      <c r="A1592" s="2" t="s">
        <v>1076</v>
      </c>
      <c r="B1592" s="9">
        <v>1</v>
      </c>
      <c r="C1592" s="9">
        <v>1</v>
      </c>
      <c r="D1592" s="10" t="s">
        <v>20</v>
      </c>
      <c r="E1592" s="11" t="s">
        <v>1080</v>
      </c>
      <c r="F1592" s="12">
        <v>1</v>
      </c>
      <c r="G1592" s="10" t="s">
        <v>124</v>
      </c>
      <c r="H1592" s="13"/>
      <c r="I1592" s="6"/>
      <c r="J1592" s="10"/>
    </row>
    <row r="1593" spans="1:10" ht="87" x14ac:dyDescent="0.2">
      <c r="A1593" s="2" t="s">
        <v>1076</v>
      </c>
      <c r="B1593" s="9">
        <v>1</v>
      </c>
      <c r="C1593" s="9">
        <v>1</v>
      </c>
      <c r="D1593" s="10" t="s">
        <v>22</v>
      </c>
      <c r="E1593" s="11" t="s">
        <v>1081</v>
      </c>
      <c r="F1593" s="12">
        <v>1</v>
      </c>
      <c r="G1593" s="10" t="s">
        <v>124</v>
      </c>
      <c r="H1593" s="13"/>
      <c r="I1593" s="6"/>
      <c r="J1593" s="10"/>
    </row>
    <row r="1594" spans="1:10" ht="72.75" x14ac:dyDescent="0.2">
      <c r="A1594" s="2" t="s">
        <v>1076</v>
      </c>
      <c r="B1594" s="9">
        <v>1</v>
      </c>
      <c r="C1594" s="9">
        <v>1</v>
      </c>
      <c r="D1594" s="10" t="s">
        <v>24</v>
      </c>
      <c r="E1594" s="11" t="s">
        <v>1082</v>
      </c>
      <c r="F1594" s="12">
        <v>5</v>
      </c>
      <c r="G1594" s="10" t="s">
        <v>124</v>
      </c>
      <c r="H1594" s="13"/>
      <c r="I1594" s="6"/>
      <c r="J1594" s="10"/>
    </row>
    <row r="1595" spans="1:10" ht="101.25" x14ac:dyDescent="0.2">
      <c r="A1595" s="2" t="s">
        <v>1076</v>
      </c>
      <c r="B1595" s="9">
        <v>1</v>
      </c>
      <c r="C1595" s="9">
        <v>1</v>
      </c>
      <c r="D1595" s="10" t="s">
        <v>27</v>
      </c>
      <c r="E1595" s="11" t="s">
        <v>1083</v>
      </c>
      <c r="F1595" s="12">
        <v>18</v>
      </c>
      <c r="G1595" s="10" t="s">
        <v>124</v>
      </c>
      <c r="H1595" s="13"/>
      <c r="I1595" s="6"/>
      <c r="J1595" s="10"/>
    </row>
    <row r="1596" spans="1:10" ht="159" x14ac:dyDescent="0.2">
      <c r="A1596" s="2" t="s">
        <v>1076</v>
      </c>
      <c r="B1596" s="9">
        <v>1</v>
      </c>
      <c r="C1596" s="9">
        <v>1</v>
      </c>
      <c r="D1596" s="10" t="s">
        <v>29</v>
      </c>
      <c r="E1596" s="11" t="s">
        <v>1084</v>
      </c>
      <c r="F1596" s="12">
        <v>2</v>
      </c>
      <c r="G1596" s="10" t="s">
        <v>124</v>
      </c>
      <c r="H1596" s="13"/>
      <c r="I1596" s="6"/>
      <c r="J1596" s="10"/>
    </row>
    <row r="1597" spans="1:10" ht="72.75" x14ac:dyDescent="0.2">
      <c r="A1597" s="2" t="s">
        <v>1076</v>
      </c>
      <c r="B1597" s="9">
        <v>1</v>
      </c>
      <c r="C1597" s="9">
        <v>1</v>
      </c>
      <c r="D1597" s="10" t="s">
        <v>32</v>
      </c>
      <c r="E1597" s="11" t="s">
        <v>1085</v>
      </c>
      <c r="F1597" s="12">
        <v>22</v>
      </c>
      <c r="G1597" s="10" t="s">
        <v>124</v>
      </c>
      <c r="H1597" s="13"/>
      <c r="I1597" s="13"/>
      <c r="J1597" s="10"/>
    </row>
    <row r="1598" spans="1:10" ht="44.25" x14ac:dyDescent="0.2">
      <c r="A1598" s="2" t="s">
        <v>1076</v>
      </c>
      <c r="B1598" s="9">
        <v>1</v>
      </c>
      <c r="C1598" s="9">
        <v>1</v>
      </c>
      <c r="D1598" s="10" t="s">
        <v>33</v>
      </c>
      <c r="E1598" s="11" t="s">
        <v>1086</v>
      </c>
      <c r="F1598" s="12">
        <v>2</v>
      </c>
      <c r="G1598" s="10" t="s">
        <v>124</v>
      </c>
      <c r="H1598" s="13"/>
      <c r="I1598" s="13"/>
      <c r="J1598" s="10"/>
    </row>
    <row r="1599" spans="1:10" ht="44.25" x14ac:dyDescent="0.2">
      <c r="A1599" s="2" t="s">
        <v>1076</v>
      </c>
      <c r="B1599" s="9">
        <v>1</v>
      </c>
      <c r="C1599" s="9">
        <v>1</v>
      </c>
      <c r="D1599" s="10" t="s">
        <v>34</v>
      </c>
      <c r="E1599" s="11" t="s">
        <v>1087</v>
      </c>
      <c r="F1599" s="12">
        <v>2</v>
      </c>
      <c r="G1599" s="10" t="s">
        <v>124</v>
      </c>
      <c r="H1599" s="13"/>
      <c r="I1599" s="13"/>
      <c r="J1599" s="10"/>
    </row>
    <row r="1600" spans="1:10" x14ac:dyDescent="0.2">
      <c r="A1600" s="2" t="s">
        <v>1076</v>
      </c>
      <c r="B1600" s="9">
        <v>1</v>
      </c>
      <c r="C1600" s="9">
        <v>1</v>
      </c>
      <c r="D1600" s="10" t="s">
        <v>35</v>
      </c>
      <c r="E1600" s="11" t="s">
        <v>1088</v>
      </c>
      <c r="F1600" s="12">
        <v>6</v>
      </c>
      <c r="G1600" s="10" t="s">
        <v>124</v>
      </c>
      <c r="H1600" s="13"/>
      <c r="I1600" s="13"/>
      <c r="J1600" s="10"/>
    </row>
    <row r="1601" spans="1:10" x14ac:dyDescent="0.2">
      <c r="A1601" s="2" t="s">
        <v>1076</v>
      </c>
      <c r="B1601" s="9">
        <v>1</v>
      </c>
      <c r="C1601" s="9">
        <v>1</v>
      </c>
      <c r="D1601" s="10" t="s">
        <v>36</v>
      </c>
      <c r="E1601" s="11" t="s">
        <v>1089</v>
      </c>
      <c r="F1601" s="12">
        <v>8</v>
      </c>
      <c r="G1601" s="10" t="s">
        <v>124</v>
      </c>
      <c r="H1601" s="13"/>
      <c r="I1601" s="13"/>
      <c r="J1601" s="10"/>
    </row>
    <row r="1602" spans="1:10" x14ac:dyDescent="0.2">
      <c r="A1602" s="2" t="s">
        <v>1076</v>
      </c>
      <c r="B1602" s="9">
        <v>1</v>
      </c>
      <c r="C1602" s="9">
        <v>1</v>
      </c>
      <c r="D1602" s="10" t="s">
        <v>40</v>
      </c>
      <c r="E1602" s="11" t="s">
        <v>1090</v>
      </c>
      <c r="F1602" s="12">
        <v>2</v>
      </c>
      <c r="G1602" s="10" t="s">
        <v>124</v>
      </c>
      <c r="H1602" s="13"/>
      <c r="I1602" s="13"/>
      <c r="J1602" s="10"/>
    </row>
    <row r="1603" spans="1:10" x14ac:dyDescent="0.2">
      <c r="A1603" s="2" t="s">
        <v>1076</v>
      </c>
      <c r="B1603" s="9">
        <v>1</v>
      </c>
      <c r="C1603" s="9">
        <v>1</v>
      </c>
      <c r="D1603" s="10" t="s">
        <v>42</v>
      </c>
      <c r="E1603" s="11" t="s">
        <v>1091</v>
      </c>
      <c r="F1603" s="12">
        <v>8</v>
      </c>
      <c r="G1603" s="10" t="s">
        <v>124</v>
      </c>
      <c r="H1603" s="13"/>
      <c r="I1603" s="13"/>
      <c r="J1603" s="10"/>
    </row>
    <row r="1604" spans="1:10" ht="58.5" x14ac:dyDescent="0.2">
      <c r="A1604" s="2" t="s">
        <v>1076</v>
      </c>
      <c r="B1604" s="9">
        <v>1</v>
      </c>
      <c r="C1604" s="9">
        <v>1</v>
      </c>
      <c r="D1604" s="10" t="s">
        <v>44</v>
      </c>
      <c r="E1604" s="11" t="s">
        <v>1092</v>
      </c>
      <c r="F1604" s="12">
        <v>23</v>
      </c>
      <c r="G1604" s="10" t="s">
        <v>124</v>
      </c>
      <c r="H1604" s="13"/>
      <c r="I1604" s="13"/>
      <c r="J1604" s="10"/>
    </row>
    <row r="1605" spans="1:10" ht="72.75" x14ac:dyDescent="0.2">
      <c r="A1605" s="2" t="s">
        <v>1076</v>
      </c>
      <c r="B1605" s="9">
        <v>1</v>
      </c>
      <c r="C1605" s="9">
        <v>1</v>
      </c>
      <c r="D1605" s="10" t="s">
        <v>46</v>
      </c>
      <c r="E1605" s="11" t="s">
        <v>1093</v>
      </c>
      <c r="F1605" s="12">
        <v>18</v>
      </c>
      <c r="G1605" s="10" t="s">
        <v>124</v>
      </c>
      <c r="H1605" s="13"/>
      <c r="I1605" s="13"/>
      <c r="J1605" s="10"/>
    </row>
    <row r="1606" spans="1:10" ht="101.25" x14ac:dyDescent="0.2">
      <c r="A1606" s="2" t="s">
        <v>1076</v>
      </c>
      <c r="B1606" s="9">
        <v>1</v>
      </c>
      <c r="C1606" s="9">
        <v>1</v>
      </c>
      <c r="D1606" s="10" t="s">
        <v>47</v>
      </c>
      <c r="E1606" s="11" t="s">
        <v>1094</v>
      </c>
      <c r="F1606" s="12">
        <v>23</v>
      </c>
      <c r="G1606" s="10" t="s">
        <v>124</v>
      </c>
      <c r="H1606" s="13"/>
      <c r="I1606" s="6"/>
      <c r="J1606" s="10"/>
    </row>
    <row r="1607" spans="1:10" ht="44.25" x14ac:dyDescent="0.2">
      <c r="A1607" s="2" t="s">
        <v>1076</v>
      </c>
      <c r="B1607" s="9">
        <v>1</v>
      </c>
      <c r="C1607" s="9">
        <v>1</v>
      </c>
      <c r="D1607" s="10" t="s">
        <v>48</v>
      </c>
      <c r="E1607" s="11" t="s">
        <v>1095</v>
      </c>
      <c r="F1607" s="12">
        <v>24</v>
      </c>
      <c r="G1607" s="10" t="s">
        <v>124</v>
      </c>
      <c r="H1607" s="13"/>
      <c r="I1607" s="13"/>
      <c r="J1607" s="10"/>
    </row>
    <row r="1608" spans="1:10" ht="44.25" x14ac:dyDescent="0.2">
      <c r="A1608" s="2" t="s">
        <v>1076</v>
      </c>
      <c r="B1608" s="9">
        <v>1</v>
      </c>
      <c r="C1608" s="9">
        <v>1</v>
      </c>
      <c r="D1608" s="10" t="s">
        <v>50</v>
      </c>
      <c r="E1608" s="11" t="s">
        <v>1096</v>
      </c>
      <c r="F1608" s="12">
        <v>200</v>
      </c>
      <c r="G1608" s="10" t="s">
        <v>83</v>
      </c>
      <c r="H1608" s="13"/>
      <c r="I1608" s="13"/>
      <c r="J1608" s="10"/>
    </row>
    <row r="1609" spans="1:10" x14ac:dyDescent="0.2">
      <c r="A1609" s="1" t="s">
        <v>1097</v>
      </c>
      <c r="B1609" s="1"/>
      <c r="C1609" s="1"/>
      <c r="D1609" s="1"/>
      <c r="E1609" s="1"/>
      <c r="F1609" s="1"/>
      <c r="G1609" s="1"/>
      <c r="H1609" s="1" t="s">
        <v>67</v>
      </c>
      <c r="I1609" s="13">
        <f>I1597+I1598+I1599+I1600+I1601+I1602+I1603+I1604+I1605+I1607+I1608</f>
        <v>0</v>
      </c>
      <c r="J1609" s="1"/>
    </row>
    <row r="1612" spans="1:10" ht="15" x14ac:dyDescent="0.25">
      <c r="A1612" s="21" t="s">
        <v>1098</v>
      </c>
      <c r="B1612" s="22"/>
      <c r="C1612" s="22"/>
      <c r="D1612" s="22"/>
      <c r="E1612" s="22"/>
      <c r="F1612" s="22"/>
      <c r="G1612" s="22"/>
      <c r="H1612" s="22"/>
      <c r="I1612" s="22"/>
      <c r="J1612" s="22"/>
    </row>
    <row r="1613" spans="1:10" ht="15" x14ac:dyDescent="0.25">
      <c r="A1613" s="21" t="s">
        <v>1075</v>
      </c>
      <c r="B1613" s="22"/>
      <c r="C1613" s="22"/>
      <c r="D1613" s="22"/>
      <c r="E1613" s="22"/>
      <c r="F1613" s="22"/>
      <c r="G1613" s="22"/>
      <c r="H1613" s="22"/>
      <c r="I1613" s="22"/>
      <c r="J1613" s="22"/>
    </row>
    <row r="1615" spans="1:10" ht="15" x14ac:dyDescent="0.25">
      <c r="A1615" s="3" t="s">
        <v>2</v>
      </c>
      <c r="B1615" s="3" t="s">
        <v>3</v>
      </c>
      <c r="C1615" s="3" t="s">
        <v>4</v>
      </c>
      <c r="D1615" s="3" t="s">
        <v>5</v>
      </c>
      <c r="E1615" s="3" t="s">
        <v>6</v>
      </c>
      <c r="F1615" s="7" t="s">
        <v>7</v>
      </c>
      <c r="G1615" s="3" t="s">
        <v>8</v>
      </c>
      <c r="H1615" s="7" t="s">
        <v>9</v>
      </c>
      <c r="I1615" s="7" t="s">
        <v>10</v>
      </c>
      <c r="J1615" s="3" t="s">
        <v>11</v>
      </c>
    </row>
    <row r="1616" spans="1:10" ht="104.25" x14ac:dyDescent="0.2">
      <c r="A1616" s="2" t="s">
        <v>1076</v>
      </c>
      <c r="B1616" s="9">
        <v>1</v>
      </c>
      <c r="C1616" s="9">
        <v>2</v>
      </c>
      <c r="D1616" s="10" t="s">
        <v>13</v>
      </c>
      <c r="E1616" s="11" t="s">
        <v>1099</v>
      </c>
      <c r="F1616" s="12">
        <v>1</v>
      </c>
      <c r="G1616" s="10" t="s">
        <v>100</v>
      </c>
      <c r="H1616" s="13"/>
      <c r="I1616" s="6"/>
      <c r="J1616" s="10"/>
    </row>
    <row r="1617" spans="1:10" ht="224.25" x14ac:dyDescent="0.2">
      <c r="A1617" s="2" t="s">
        <v>1076</v>
      </c>
      <c r="B1617" s="9">
        <v>1</v>
      </c>
      <c r="C1617" s="9">
        <v>2</v>
      </c>
      <c r="D1617" s="10" t="s">
        <v>16</v>
      </c>
      <c r="E1617" s="11" t="s">
        <v>1100</v>
      </c>
      <c r="F1617" s="12">
        <v>1</v>
      </c>
      <c r="G1617" s="10" t="s">
        <v>100</v>
      </c>
      <c r="H1617" s="13"/>
      <c r="I1617" s="6"/>
      <c r="J1617" s="10"/>
    </row>
    <row r="1618" spans="1:10" x14ac:dyDescent="0.2">
      <c r="A1618" s="2" t="s">
        <v>1076</v>
      </c>
      <c r="B1618" s="9">
        <v>1</v>
      </c>
      <c r="C1618" s="9">
        <v>2</v>
      </c>
      <c r="D1618" s="10" t="s">
        <v>18</v>
      </c>
      <c r="E1618" s="11" t="s">
        <v>1101</v>
      </c>
      <c r="F1618" s="12">
        <v>1</v>
      </c>
      <c r="G1618" s="10" t="s">
        <v>100</v>
      </c>
      <c r="H1618" s="13"/>
      <c r="I1618" s="6"/>
      <c r="J1618" s="10"/>
    </row>
    <row r="1619" spans="1:10" ht="58.5" x14ac:dyDescent="0.2">
      <c r="A1619" s="2" t="s">
        <v>1076</v>
      </c>
      <c r="B1619" s="9">
        <v>1</v>
      </c>
      <c r="C1619" s="9">
        <v>2</v>
      </c>
      <c r="D1619" s="10" t="s">
        <v>20</v>
      </c>
      <c r="E1619" s="11" t="s">
        <v>1102</v>
      </c>
      <c r="F1619" s="12">
        <v>4</v>
      </c>
      <c r="G1619" s="10" t="s">
        <v>124</v>
      </c>
      <c r="H1619" s="13"/>
      <c r="I1619" s="13"/>
      <c r="J1619" s="10"/>
    </row>
    <row r="1620" spans="1:10" ht="28.5" x14ac:dyDescent="0.2">
      <c r="A1620" s="2" t="s">
        <v>1076</v>
      </c>
      <c r="B1620" s="9">
        <v>1</v>
      </c>
      <c r="C1620" s="9">
        <v>2</v>
      </c>
      <c r="D1620" s="10" t="s">
        <v>22</v>
      </c>
      <c r="E1620" s="11" t="s">
        <v>1103</v>
      </c>
      <c r="F1620" s="12">
        <v>8</v>
      </c>
      <c r="G1620" s="10" t="s">
        <v>124</v>
      </c>
      <c r="H1620" s="13"/>
      <c r="I1620" s="13"/>
      <c r="J1620" s="10"/>
    </row>
    <row r="1621" spans="1:10" ht="28.5" x14ac:dyDescent="0.2">
      <c r="A1621" s="2" t="s">
        <v>1076</v>
      </c>
      <c r="B1621" s="9">
        <v>1</v>
      </c>
      <c r="C1621" s="9">
        <v>2</v>
      </c>
      <c r="D1621" s="10" t="s">
        <v>24</v>
      </c>
      <c r="E1621" s="11" t="s">
        <v>1104</v>
      </c>
      <c r="F1621" s="12">
        <v>4</v>
      </c>
      <c r="G1621" s="10" t="s">
        <v>124</v>
      </c>
      <c r="H1621" s="13"/>
      <c r="I1621" s="13"/>
      <c r="J1621" s="10"/>
    </row>
    <row r="1622" spans="1:10" ht="28.5" x14ac:dyDescent="0.2">
      <c r="A1622" s="2" t="s">
        <v>1076</v>
      </c>
      <c r="B1622" s="9">
        <v>1</v>
      </c>
      <c r="C1622" s="9">
        <v>2</v>
      </c>
      <c r="D1622" s="10" t="s">
        <v>27</v>
      </c>
      <c r="E1622" s="11" t="s">
        <v>1105</v>
      </c>
      <c r="F1622" s="12">
        <v>2</v>
      </c>
      <c r="G1622" s="10" t="s">
        <v>124</v>
      </c>
      <c r="H1622" s="13"/>
      <c r="I1622" s="13"/>
      <c r="J1622" s="10"/>
    </row>
    <row r="1623" spans="1:10" ht="44.25" x14ac:dyDescent="0.2">
      <c r="A1623" s="2" t="s">
        <v>1076</v>
      </c>
      <c r="B1623" s="9">
        <v>1</v>
      </c>
      <c r="C1623" s="9">
        <v>2</v>
      </c>
      <c r="D1623" s="10" t="s">
        <v>35</v>
      </c>
      <c r="E1623" s="11" t="s">
        <v>1106</v>
      </c>
      <c r="F1623" s="12">
        <v>18</v>
      </c>
      <c r="G1623" s="10" t="s">
        <v>124</v>
      </c>
      <c r="H1623" s="13"/>
      <c r="I1623" s="6"/>
      <c r="J1623" s="10"/>
    </row>
    <row r="1624" spans="1:10" x14ac:dyDescent="0.2">
      <c r="A1624" s="2" t="s">
        <v>1076</v>
      </c>
      <c r="B1624" s="9">
        <v>1</v>
      </c>
      <c r="C1624" s="9">
        <v>2</v>
      </c>
      <c r="D1624" s="10" t="s">
        <v>36</v>
      </c>
      <c r="E1624" s="11" t="s">
        <v>1107</v>
      </c>
      <c r="F1624" s="12">
        <v>18</v>
      </c>
      <c r="G1624" s="10" t="s">
        <v>124</v>
      </c>
      <c r="H1624" s="13"/>
      <c r="I1624" s="6"/>
      <c r="J1624" s="10"/>
    </row>
    <row r="1625" spans="1:10" x14ac:dyDescent="0.2">
      <c r="A1625" s="2" t="s">
        <v>1076</v>
      </c>
      <c r="B1625" s="9">
        <v>1</v>
      </c>
      <c r="C1625" s="9">
        <v>2</v>
      </c>
      <c r="D1625" s="10" t="s">
        <v>40</v>
      </c>
      <c r="E1625" s="11" t="s">
        <v>1108</v>
      </c>
      <c r="F1625" s="12">
        <v>18</v>
      </c>
      <c r="G1625" s="10" t="s">
        <v>124</v>
      </c>
      <c r="H1625" s="13"/>
      <c r="I1625" s="6"/>
      <c r="J1625" s="10"/>
    </row>
    <row r="1626" spans="1:10" ht="74.25" x14ac:dyDescent="0.2">
      <c r="A1626" s="2" t="s">
        <v>1076</v>
      </c>
      <c r="B1626" s="9">
        <v>1</v>
      </c>
      <c r="C1626" s="9">
        <v>2</v>
      </c>
      <c r="D1626" s="10" t="s">
        <v>42</v>
      </c>
      <c r="E1626" s="11" t="s">
        <v>1109</v>
      </c>
      <c r="F1626" s="12">
        <v>172</v>
      </c>
      <c r="G1626" s="10" t="s">
        <v>83</v>
      </c>
      <c r="H1626" s="13"/>
      <c r="I1626" s="13"/>
      <c r="J1626" s="10"/>
    </row>
    <row r="1627" spans="1:10" x14ac:dyDescent="0.2">
      <c r="A1627" s="1" t="s">
        <v>1110</v>
      </c>
      <c r="B1627" s="1"/>
      <c r="C1627" s="1"/>
      <c r="D1627" s="1"/>
      <c r="E1627" s="1"/>
      <c r="F1627" s="1"/>
      <c r="G1627" s="1"/>
      <c r="H1627" s="1" t="s">
        <v>67</v>
      </c>
      <c r="I1627" s="13">
        <f>I1619+I1620+I1621+I1622+I1626</f>
        <v>0</v>
      </c>
      <c r="J1627" s="1"/>
    </row>
    <row r="1635" spans="1:10" ht="15" x14ac:dyDescent="0.25">
      <c r="A1635" s="3" t="s">
        <v>89</v>
      </c>
      <c r="B1635" s="14"/>
      <c r="C1635" s="14"/>
      <c r="D1635" s="14"/>
      <c r="E1635" s="14"/>
      <c r="F1635" s="14"/>
      <c r="G1635" s="14"/>
      <c r="H1635" s="14"/>
      <c r="I1635" s="7" t="s">
        <v>90</v>
      </c>
    </row>
    <row r="1636" spans="1:10" x14ac:dyDescent="0.2">
      <c r="A1636" s="15" t="s">
        <v>1111</v>
      </c>
      <c r="I1636" s="16">
        <f>I1609</f>
        <v>0</v>
      </c>
    </row>
    <row r="1637" spans="1:10" x14ac:dyDescent="0.2">
      <c r="A1637" s="15" t="s">
        <v>1112</v>
      </c>
      <c r="I1637" s="16">
        <f>I1627</f>
        <v>0</v>
      </c>
    </row>
    <row r="1638" spans="1:10" x14ac:dyDescent="0.2">
      <c r="A1638" s="15"/>
      <c r="I1638" s="15"/>
    </row>
    <row r="1639" spans="1:10" x14ac:dyDescent="0.2">
      <c r="A1639" s="17"/>
      <c r="B1639" s="18"/>
      <c r="C1639" s="18"/>
      <c r="D1639" s="18"/>
      <c r="E1639" s="18"/>
      <c r="F1639" s="18"/>
      <c r="G1639" s="18"/>
      <c r="H1639" s="18"/>
      <c r="I1639" s="17"/>
    </row>
    <row r="1640" spans="1:10" x14ac:dyDescent="0.2">
      <c r="H1640" s="4" t="s">
        <v>95</v>
      </c>
      <c r="I1640" s="13">
        <f>SUM(I1636:I1639)</f>
        <v>0</v>
      </c>
    </row>
    <row r="1644" spans="1:10" ht="15" x14ac:dyDescent="0.25">
      <c r="A1644" s="21" t="s">
        <v>1113</v>
      </c>
      <c r="B1644" s="22"/>
      <c r="C1644" s="22"/>
      <c r="D1644" s="22"/>
      <c r="E1644" s="22"/>
      <c r="F1644" s="22"/>
      <c r="G1644" s="22"/>
      <c r="H1644" s="22"/>
      <c r="I1644" s="22"/>
      <c r="J1644" s="22"/>
    </row>
    <row r="1645" spans="1:10" ht="15" x14ac:dyDescent="0.25">
      <c r="A1645" s="21" t="s">
        <v>1114</v>
      </c>
      <c r="B1645" s="22"/>
      <c r="C1645" s="22"/>
      <c r="D1645" s="22"/>
      <c r="E1645" s="22"/>
      <c r="F1645" s="22"/>
      <c r="G1645" s="22"/>
      <c r="H1645" s="22"/>
      <c r="I1645" s="22"/>
      <c r="J1645" s="22"/>
    </row>
    <row r="1647" spans="1:10" ht="15" x14ac:dyDescent="0.25">
      <c r="A1647" s="3" t="s">
        <v>2</v>
      </c>
      <c r="B1647" s="3" t="s">
        <v>3</v>
      </c>
      <c r="C1647" s="3" t="s">
        <v>4</v>
      </c>
      <c r="D1647" s="3" t="s">
        <v>5</v>
      </c>
      <c r="E1647" s="3" t="s">
        <v>6</v>
      </c>
      <c r="F1647" s="7" t="s">
        <v>7</v>
      </c>
      <c r="G1647" s="3" t="s">
        <v>8</v>
      </c>
      <c r="H1647" s="7" t="s">
        <v>9</v>
      </c>
      <c r="I1647" s="7" t="s">
        <v>10</v>
      </c>
      <c r="J1647" s="3" t="s">
        <v>11</v>
      </c>
    </row>
    <row r="1648" spans="1:10" ht="104.25" x14ac:dyDescent="0.2">
      <c r="A1648" s="2" t="s">
        <v>1115</v>
      </c>
      <c r="B1648" s="9">
        <v>1</v>
      </c>
      <c r="C1648" s="9">
        <v>1</v>
      </c>
      <c r="D1648" s="10" t="s">
        <v>13</v>
      </c>
      <c r="E1648" s="11" t="s">
        <v>1116</v>
      </c>
      <c r="F1648" s="12">
        <v>1</v>
      </c>
      <c r="G1648" s="10" t="s">
        <v>100</v>
      </c>
      <c r="H1648" s="13"/>
      <c r="I1648" s="13"/>
      <c r="J1648" s="10"/>
    </row>
    <row r="1649" spans="1:10" x14ac:dyDescent="0.2">
      <c r="A1649" s="2" t="s">
        <v>1115</v>
      </c>
      <c r="B1649" s="9">
        <v>1</v>
      </c>
      <c r="C1649" s="9">
        <v>1</v>
      </c>
      <c r="D1649" s="10" t="s">
        <v>18</v>
      </c>
      <c r="E1649" s="11" t="s">
        <v>1117</v>
      </c>
      <c r="F1649" s="12">
        <v>1</v>
      </c>
      <c r="G1649" s="10" t="s">
        <v>100</v>
      </c>
      <c r="H1649" s="13"/>
      <c r="I1649" s="6"/>
      <c r="J1649" s="10"/>
    </row>
    <row r="1650" spans="1:10" ht="44.25" x14ac:dyDescent="0.2">
      <c r="A1650" s="2" t="s">
        <v>1115</v>
      </c>
      <c r="B1650" s="9">
        <v>1</v>
      </c>
      <c r="C1650" s="9">
        <v>1</v>
      </c>
      <c r="D1650" s="10" t="s">
        <v>20</v>
      </c>
      <c r="E1650" s="11" t="s">
        <v>1118</v>
      </c>
      <c r="F1650" s="12">
        <v>1</v>
      </c>
      <c r="G1650" s="10" t="s">
        <v>100</v>
      </c>
      <c r="H1650" s="13"/>
      <c r="I1650" s="13"/>
      <c r="J1650" s="10"/>
    </row>
    <row r="1651" spans="1:10" ht="44.25" x14ac:dyDescent="0.2">
      <c r="A1651" s="2" t="s">
        <v>1115</v>
      </c>
      <c r="B1651" s="9">
        <v>1</v>
      </c>
      <c r="C1651" s="9">
        <v>1</v>
      </c>
      <c r="D1651" s="10" t="s">
        <v>22</v>
      </c>
      <c r="E1651" s="11" t="s">
        <v>1119</v>
      </c>
      <c r="F1651" s="12">
        <v>1</v>
      </c>
      <c r="G1651" s="10" t="s">
        <v>100</v>
      </c>
      <c r="H1651" s="13"/>
      <c r="I1651" s="6"/>
      <c r="J1651" s="10"/>
    </row>
    <row r="1652" spans="1:10" x14ac:dyDescent="0.2">
      <c r="A1652" s="2" t="s">
        <v>1115</v>
      </c>
      <c r="B1652" s="9">
        <v>1</v>
      </c>
      <c r="C1652" s="9">
        <v>1</v>
      </c>
      <c r="D1652" s="10" t="s">
        <v>24</v>
      </c>
      <c r="E1652" s="11" t="s">
        <v>1120</v>
      </c>
      <c r="F1652" s="12">
        <v>1</v>
      </c>
      <c r="G1652" s="10" t="s">
        <v>100</v>
      </c>
      <c r="H1652" s="13"/>
      <c r="I1652" s="6"/>
      <c r="J1652" s="10"/>
    </row>
    <row r="1653" spans="1:10" x14ac:dyDescent="0.2">
      <c r="A1653" s="2" t="s">
        <v>1115</v>
      </c>
      <c r="B1653" s="9">
        <v>1</v>
      </c>
      <c r="C1653" s="9">
        <v>1</v>
      </c>
      <c r="D1653" s="10" t="s">
        <v>27</v>
      </c>
      <c r="E1653" s="11" t="s">
        <v>1121</v>
      </c>
      <c r="F1653" s="12">
        <v>1</v>
      </c>
      <c r="G1653" s="10" t="s">
        <v>100</v>
      </c>
      <c r="H1653" s="13"/>
      <c r="I1653" s="13"/>
      <c r="J1653" s="10"/>
    </row>
    <row r="1654" spans="1:10" x14ac:dyDescent="0.2">
      <c r="A1654" s="1" t="s">
        <v>1122</v>
      </c>
      <c r="B1654" s="1"/>
      <c r="C1654" s="1"/>
      <c r="D1654" s="1"/>
      <c r="E1654" s="1"/>
      <c r="F1654" s="1"/>
      <c r="G1654" s="1"/>
      <c r="H1654" s="1" t="s">
        <v>67</v>
      </c>
      <c r="I1654" s="13">
        <f>I1648+I1650+I1653</f>
        <v>0</v>
      </c>
      <c r="J1654" s="1"/>
    </row>
    <row r="1657" spans="1:10" ht="15" x14ac:dyDescent="0.25">
      <c r="A1657" s="21" t="s">
        <v>1123</v>
      </c>
      <c r="B1657" s="22"/>
      <c r="C1657" s="22"/>
      <c r="D1657" s="22"/>
      <c r="E1657" s="22"/>
      <c r="F1657" s="22"/>
      <c r="G1657" s="22"/>
      <c r="H1657" s="22"/>
      <c r="I1657" s="22"/>
      <c r="J1657" s="22"/>
    </row>
    <row r="1658" spans="1:10" ht="15" x14ac:dyDescent="0.25">
      <c r="A1658" s="21" t="s">
        <v>1114</v>
      </c>
      <c r="B1658" s="22"/>
      <c r="C1658" s="22"/>
      <c r="D1658" s="22"/>
      <c r="E1658" s="22"/>
      <c r="F1658" s="22"/>
      <c r="G1658" s="22"/>
      <c r="H1658" s="22"/>
      <c r="I1658" s="22"/>
      <c r="J1658" s="22"/>
    </row>
    <row r="1660" spans="1:10" ht="15" x14ac:dyDescent="0.25">
      <c r="A1660" s="3" t="s">
        <v>2</v>
      </c>
      <c r="B1660" s="3" t="s">
        <v>3</v>
      </c>
      <c r="C1660" s="3" t="s">
        <v>4</v>
      </c>
      <c r="D1660" s="3" t="s">
        <v>5</v>
      </c>
      <c r="E1660" s="3" t="s">
        <v>6</v>
      </c>
      <c r="F1660" s="7" t="s">
        <v>7</v>
      </c>
      <c r="G1660" s="3" t="s">
        <v>8</v>
      </c>
      <c r="H1660" s="7" t="s">
        <v>9</v>
      </c>
      <c r="I1660" s="7" t="s">
        <v>10</v>
      </c>
      <c r="J1660" s="3" t="s">
        <v>11</v>
      </c>
    </row>
    <row r="1661" spans="1:10" ht="74.25" x14ac:dyDescent="0.2">
      <c r="A1661" s="2" t="s">
        <v>1115</v>
      </c>
      <c r="B1661" s="9">
        <v>1</v>
      </c>
      <c r="C1661" s="9">
        <v>2</v>
      </c>
      <c r="D1661" s="10" t="s">
        <v>13</v>
      </c>
      <c r="E1661" s="11" t="s">
        <v>1124</v>
      </c>
      <c r="F1661" s="12">
        <v>1</v>
      </c>
      <c r="G1661" s="10" t="s">
        <v>100</v>
      </c>
      <c r="H1661" s="13"/>
      <c r="I1661" s="13"/>
      <c r="J1661" s="10"/>
    </row>
    <row r="1662" spans="1:10" x14ac:dyDescent="0.2">
      <c r="A1662" s="2" t="s">
        <v>1115</v>
      </c>
      <c r="B1662" s="9">
        <v>1</v>
      </c>
      <c r="C1662" s="9">
        <v>2</v>
      </c>
      <c r="D1662" s="10" t="s">
        <v>18</v>
      </c>
      <c r="E1662" s="11" t="s">
        <v>1117</v>
      </c>
      <c r="F1662" s="12">
        <v>1</v>
      </c>
      <c r="G1662" s="10" t="s">
        <v>100</v>
      </c>
      <c r="H1662" s="13"/>
      <c r="I1662" s="6"/>
      <c r="J1662" s="10"/>
    </row>
    <row r="1663" spans="1:10" ht="44.25" x14ac:dyDescent="0.2">
      <c r="A1663" s="2" t="s">
        <v>1115</v>
      </c>
      <c r="B1663" s="9">
        <v>1</v>
      </c>
      <c r="C1663" s="9">
        <v>2</v>
      </c>
      <c r="D1663" s="10" t="s">
        <v>20</v>
      </c>
      <c r="E1663" s="11" t="s">
        <v>1125</v>
      </c>
      <c r="F1663" s="12">
        <v>1</v>
      </c>
      <c r="G1663" s="10" t="s">
        <v>100</v>
      </c>
      <c r="H1663" s="13"/>
      <c r="I1663" s="13"/>
      <c r="J1663" s="10"/>
    </row>
    <row r="1664" spans="1:10" ht="44.25" x14ac:dyDescent="0.2">
      <c r="A1664" s="2" t="s">
        <v>1115</v>
      </c>
      <c r="B1664" s="9">
        <v>1</v>
      </c>
      <c r="C1664" s="9">
        <v>2</v>
      </c>
      <c r="D1664" s="10" t="s">
        <v>22</v>
      </c>
      <c r="E1664" s="11" t="s">
        <v>1119</v>
      </c>
      <c r="F1664" s="12">
        <v>1</v>
      </c>
      <c r="G1664" s="10" t="s">
        <v>100</v>
      </c>
      <c r="H1664" s="13"/>
      <c r="I1664" s="6"/>
      <c r="J1664" s="10"/>
    </row>
    <row r="1665" spans="1:10" x14ac:dyDescent="0.2">
      <c r="A1665" s="2" t="s">
        <v>1115</v>
      </c>
      <c r="B1665" s="9">
        <v>1</v>
      </c>
      <c r="C1665" s="9">
        <v>2</v>
      </c>
      <c r="D1665" s="10" t="s">
        <v>24</v>
      </c>
      <c r="E1665" s="11" t="s">
        <v>1120</v>
      </c>
      <c r="F1665" s="12">
        <v>1</v>
      </c>
      <c r="G1665" s="10" t="s">
        <v>100</v>
      </c>
      <c r="H1665" s="13"/>
      <c r="I1665" s="6"/>
      <c r="J1665" s="10"/>
    </row>
    <row r="1666" spans="1:10" x14ac:dyDescent="0.2">
      <c r="A1666" s="2" t="s">
        <v>1115</v>
      </c>
      <c r="B1666" s="9">
        <v>1</v>
      </c>
      <c r="C1666" s="9">
        <v>2</v>
      </c>
      <c r="D1666" s="10" t="s">
        <v>27</v>
      </c>
      <c r="E1666" s="11" t="s">
        <v>1126</v>
      </c>
      <c r="F1666" s="12">
        <v>1</v>
      </c>
      <c r="G1666" s="10" t="s">
        <v>100</v>
      </c>
      <c r="H1666" s="13"/>
      <c r="I1666" s="6"/>
      <c r="J1666" s="10"/>
    </row>
    <row r="1667" spans="1:10" ht="44.25" x14ac:dyDescent="0.2">
      <c r="A1667" s="2" t="s">
        <v>1115</v>
      </c>
      <c r="B1667" s="9">
        <v>1</v>
      </c>
      <c r="C1667" s="9">
        <v>2</v>
      </c>
      <c r="D1667" s="10" t="s">
        <v>29</v>
      </c>
      <c r="E1667" s="11" t="s">
        <v>1127</v>
      </c>
      <c r="F1667" s="12">
        <v>1</v>
      </c>
      <c r="G1667" s="10" t="s">
        <v>100</v>
      </c>
      <c r="H1667" s="13"/>
      <c r="I1667" s="6"/>
      <c r="J1667" s="10"/>
    </row>
    <row r="1668" spans="1:10" x14ac:dyDescent="0.2">
      <c r="A1668" s="2" t="s">
        <v>1115</v>
      </c>
      <c r="B1668" s="9">
        <v>1</v>
      </c>
      <c r="C1668" s="9">
        <v>2</v>
      </c>
      <c r="D1668" s="10" t="s">
        <v>32</v>
      </c>
      <c r="E1668" s="11" t="s">
        <v>1128</v>
      </c>
      <c r="F1668" s="12">
        <v>1</v>
      </c>
      <c r="G1668" s="10" t="s">
        <v>100</v>
      </c>
      <c r="H1668" s="13"/>
      <c r="I1668" s="6"/>
      <c r="J1668" s="10"/>
    </row>
    <row r="1669" spans="1:10" ht="28.5" x14ac:dyDescent="0.2">
      <c r="A1669" s="2" t="s">
        <v>1115</v>
      </c>
      <c r="B1669" s="9">
        <v>1</v>
      </c>
      <c r="C1669" s="9">
        <v>2</v>
      </c>
      <c r="D1669" s="10" t="s">
        <v>33</v>
      </c>
      <c r="E1669" s="11" t="s">
        <v>1129</v>
      </c>
      <c r="F1669" s="12">
        <v>1</v>
      </c>
      <c r="G1669" s="10" t="s">
        <v>100</v>
      </c>
      <c r="H1669" s="13"/>
      <c r="I1669" s="6"/>
      <c r="J1669" s="10"/>
    </row>
    <row r="1670" spans="1:10" x14ac:dyDescent="0.2">
      <c r="A1670" s="1" t="s">
        <v>1130</v>
      </c>
      <c r="B1670" s="1"/>
      <c r="C1670" s="1"/>
      <c r="D1670" s="1"/>
      <c r="E1670" s="1"/>
      <c r="F1670" s="1"/>
      <c r="G1670" s="1"/>
      <c r="H1670" s="1" t="s">
        <v>67</v>
      </c>
      <c r="I1670" s="13">
        <f>I1661+I1663</f>
        <v>0</v>
      </c>
      <c r="J1670" s="1"/>
    </row>
    <row r="1673" spans="1:10" ht="15" x14ac:dyDescent="0.25">
      <c r="A1673" s="21" t="s">
        <v>1131</v>
      </c>
      <c r="B1673" s="22"/>
      <c r="C1673" s="22"/>
      <c r="D1673" s="22"/>
      <c r="E1673" s="22"/>
      <c r="F1673" s="22"/>
      <c r="G1673" s="22"/>
      <c r="H1673" s="22"/>
      <c r="I1673" s="22"/>
      <c r="J1673" s="22"/>
    </row>
    <row r="1674" spans="1:10" ht="15" x14ac:dyDescent="0.25">
      <c r="A1674" s="21" t="s">
        <v>1114</v>
      </c>
      <c r="B1674" s="22"/>
      <c r="C1674" s="22"/>
      <c r="D1674" s="22"/>
      <c r="E1674" s="22"/>
      <c r="F1674" s="22"/>
      <c r="G1674" s="22"/>
      <c r="H1674" s="22"/>
      <c r="I1674" s="22"/>
      <c r="J1674" s="22"/>
    </row>
    <row r="1676" spans="1:10" ht="15" x14ac:dyDescent="0.25">
      <c r="A1676" s="3" t="s">
        <v>2</v>
      </c>
      <c r="B1676" s="3" t="s">
        <v>3</v>
      </c>
      <c r="C1676" s="3" t="s">
        <v>4</v>
      </c>
      <c r="D1676" s="3" t="s">
        <v>5</v>
      </c>
      <c r="E1676" s="3" t="s">
        <v>6</v>
      </c>
      <c r="F1676" s="7" t="s">
        <v>7</v>
      </c>
      <c r="G1676" s="3" t="s">
        <v>8</v>
      </c>
      <c r="H1676" s="7" t="s">
        <v>9</v>
      </c>
      <c r="I1676" s="7" t="s">
        <v>10</v>
      </c>
      <c r="J1676" s="3" t="s">
        <v>11</v>
      </c>
    </row>
    <row r="1677" spans="1:10" ht="104.25" x14ac:dyDescent="0.2">
      <c r="A1677" s="2" t="s">
        <v>1115</v>
      </c>
      <c r="B1677" s="9">
        <v>1</v>
      </c>
      <c r="C1677" s="9">
        <v>3</v>
      </c>
      <c r="D1677" s="10" t="s">
        <v>13</v>
      </c>
      <c r="E1677" s="11" t="s">
        <v>1132</v>
      </c>
      <c r="F1677" s="12">
        <v>1</v>
      </c>
      <c r="G1677" s="10" t="s">
        <v>100</v>
      </c>
      <c r="H1677" s="13"/>
      <c r="I1677" s="6"/>
      <c r="J1677" s="10"/>
    </row>
    <row r="1678" spans="1:10" x14ac:dyDescent="0.2">
      <c r="A1678" s="2" t="s">
        <v>1115</v>
      </c>
      <c r="B1678" s="9">
        <v>1</v>
      </c>
      <c r="C1678" s="9">
        <v>3</v>
      </c>
      <c r="D1678" s="10" t="s">
        <v>16</v>
      </c>
      <c r="E1678" s="11" t="s">
        <v>1133</v>
      </c>
      <c r="F1678" s="12">
        <v>1</v>
      </c>
      <c r="G1678" s="10" t="s">
        <v>258</v>
      </c>
      <c r="H1678" s="13"/>
      <c r="I1678" s="13"/>
      <c r="J1678" s="10"/>
    </row>
    <row r="1679" spans="1:10" x14ac:dyDescent="0.2">
      <c r="A1679" s="2" t="s">
        <v>1115</v>
      </c>
      <c r="B1679" s="9">
        <v>1</v>
      </c>
      <c r="C1679" s="9">
        <v>3</v>
      </c>
      <c r="D1679" s="10" t="s">
        <v>18</v>
      </c>
      <c r="E1679" s="11" t="s">
        <v>1134</v>
      </c>
      <c r="F1679" s="12">
        <v>1</v>
      </c>
      <c r="G1679" s="10" t="s">
        <v>258</v>
      </c>
      <c r="H1679" s="13"/>
      <c r="I1679" s="13"/>
      <c r="J1679" s="10"/>
    </row>
    <row r="1680" spans="1:10" ht="44.25" x14ac:dyDescent="0.2">
      <c r="A1680" s="2" t="s">
        <v>1115</v>
      </c>
      <c r="B1680" s="9">
        <v>1</v>
      </c>
      <c r="C1680" s="9">
        <v>3</v>
      </c>
      <c r="D1680" s="10" t="s">
        <v>20</v>
      </c>
      <c r="E1680" s="11" t="s">
        <v>1135</v>
      </c>
      <c r="F1680" s="12">
        <v>2</v>
      </c>
      <c r="G1680" s="10" t="s">
        <v>258</v>
      </c>
      <c r="H1680" s="13"/>
      <c r="I1680" s="13"/>
      <c r="J1680" s="10"/>
    </row>
    <row r="1681" spans="1:10" x14ac:dyDescent="0.2">
      <c r="A1681" s="2" t="s">
        <v>1115</v>
      </c>
      <c r="B1681" s="9">
        <v>1</v>
      </c>
      <c r="C1681" s="9">
        <v>3</v>
      </c>
      <c r="D1681" s="10" t="s">
        <v>20</v>
      </c>
      <c r="E1681" s="11" t="s">
        <v>1136</v>
      </c>
      <c r="F1681" s="12">
        <v>2</v>
      </c>
      <c r="G1681" s="10" t="s">
        <v>258</v>
      </c>
      <c r="H1681" s="13"/>
      <c r="I1681" s="6"/>
      <c r="J1681" s="10"/>
    </row>
    <row r="1682" spans="1:10" x14ac:dyDescent="0.2">
      <c r="A1682" s="2" t="s">
        <v>1115</v>
      </c>
      <c r="B1682" s="9">
        <v>1</v>
      </c>
      <c r="C1682" s="9">
        <v>3</v>
      </c>
      <c r="D1682" s="10" t="s">
        <v>22</v>
      </c>
      <c r="E1682" s="11" t="s">
        <v>1137</v>
      </c>
      <c r="F1682" s="12">
        <v>2</v>
      </c>
      <c r="G1682" s="10" t="s">
        <v>258</v>
      </c>
      <c r="H1682" s="13"/>
      <c r="I1682" s="6"/>
      <c r="J1682" s="10"/>
    </row>
    <row r="1683" spans="1:10" ht="44.25" x14ac:dyDescent="0.2">
      <c r="A1683" s="2" t="s">
        <v>1115</v>
      </c>
      <c r="B1683" s="9">
        <v>1</v>
      </c>
      <c r="C1683" s="9">
        <v>3</v>
      </c>
      <c r="D1683" s="10" t="s">
        <v>24</v>
      </c>
      <c r="E1683" s="11" t="s">
        <v>1138</v>
      </c>
      <c r="F1683" s="12">
        <v>1</v>
      </c>
      <c r="G1683" s="10" t="s">
        <v>100</v>
      </c>
      <c r="H1683" s="13"/>
      <c r="I1683" s="6"/>
      <c r="J1683" s="10"/>
    </row>
    <row r="1684" spans="1:10" ht="44.25" x14ac:dyDescent="0.2">
      <c r="A1684" s="2" t="s">
        <v>1115</v>
      </c>
      <c r="B1684" s="9">
        <v>1</v>
      </c>
      <c r="C1684" s="9">
        <v>3</v>
      </c>
      <c r="D1684" s="10" t="s">
        <v>29</v>
      </c>
      <c r="E1684" s="11" t="s">
        <v>1139</v>
      </c>
      <c r="F1684" s="12">
        <v>1</v>
      </c>
      <c r="G1684" s="10" t="s">
        <v>100</v>
      </c>
      <c r="H1684" s="13"/>
      <c r="I1684" s="6"/>
      <c r="J1684" s="10"/>
    </row>
    <row r="1685" spans="1:10" ht="44.25" x14ac:dyDescent="0.2">
      <c r="A1685" s="2" t="s">
        <v>1115</v>
      </c>
      <c r="B1685" s="9">
        <v>1</v>
      </c>
      <c r="C1685" s="9">
        <v>3</v>
      </c>
      <c r="D1685" s="10" t="s">
        <v>33</v>
      </c>
      <c r="E1685" s="11" t="s">
        <v>1140</v>
      </c>
      <c r="F1685" s="12">
        <v>1</v>
      </c>
      <c r="G1685" s="10" t="s">
        <v>100</v>
      </c>
      <c r="H1685" s="13"/>
      <c r="I1685" s="6"/>
      <c r="J1685" s="10"/>
    </row>
    <row r="1686" spans="1:10" ht="44.25" x14ac:dyDescent="0.2">
      <c r="A1686" s="2" t="s">
        <v>1115</v>
      </c>
      <c r="B1686" s="9">
        <v>1</v>
      </c>
      <c r="C1686" s="9">
        <v>3</v>
      </c>
      <c r="D1686" s="10" t="s">
        <v>35</v>
      </c>
      <c r="E1686" s="11" t="s">
        <v>1141</v>
      </c>
      <c r="F1686" s="12">
        <v>11</v>
      </c>
      <c r="G1686" s="10" t="s">
        <v>258</v>
      </c>
      <c r="H1686" s="13"/>
      <c r="I1686" s="6"/>
      <c r="J1686" s="10"/>
    </row>
    <row r="1687" spans="1:10" x14ac:dyDescent="0.2">
      <c r="A1687" s="1" t="s">
        <v>1142</v>
      </c>
      <c r="B1687" s="1"/>
      <c r="C1687" s="1"/>
      <c r="D1687" s="1"/>
      <c r="E1687" s="1"/>
      <c r="F1687" s="1"/>
      <c r="G1687" s="1"/>
      <c r="H1687" s="1" t="s">
        <v>67</v>
      </c>
      <c r="I1687" s="13">
        <f>I1678+I1679+I1680</f>
        <v>0</v>
      </c>
      <c r="J1687" s="1"/>
    </row>
    <row r="1695" spans="1:10" ht="15" x14ac:dyDescent="0.25">
      <c r="A1695" s="3" t="s">
        <v>89</v>
      </c>
      <c r="B1695" s="14"/>
      <c r="C1695" s="14"/>
      <c r="D1695" s="14"/>
      <c r="E1695" s="14"/>
      <c r="F1695" s="14"/>
      <c r="G1695" s="14"/>
      <c r="H1695" s="14"/>
      <c r="I1695" s="7" t="s">
        <v>90</v>
      </c>
    </row>
    <row r="1696" spans="1:10" x14ac:dyDescent="0.2">
      <c r="A1696" s="15" t="s">
        <v>1143</v>
      </c>
      <c r="I1696" s="16">
        <f>I1654</f>
        <v>0</v>
      </c>
    </row>
    <row r="1697" spans="1:10" x14ac:dyDescent="0.2">
      <c r="A1697" s="15" t="s">
        <v>1144</v>
      </c>
      <c r="I1697" s="16">
        <f>I1670</f>
        <v>0</v>
      </c>
    </row>
    <row r="1698" spans="1:10" x14ac:dyDescent="0.2">
      <c r="A1698" s="15" t="s">
        <v>1145</v>
      </c>
      <c r="I1698" s="16">
        <f>I1687</f>
        <v>0</v>
      </c>
    </row>
    <row r="1699" spans="1:10" x14ac:dyDescent="0.2">
      <c r="A1699" s="15"/>
      <c r="I1699" s="15"/>
    </row>
    <row r="1700" spans="1:10" x14ac:dyDescent="0.2">
      <c r="A1700" s="17"/>
      <c r="B1700" s="18"/>
      <c r="C1700" s="18"/>
      <c r="D1700" s="18"/>
      <c r="E1700" s="18"/>
      <c r="F1700" s="18"/>
      <c r="G1700" s="18"/>
      <c r="H1700" s="18"/>
      <c r="I1700" s="17"/>
    </row>
    <row r="1701" spans="1:10" x14ac:dyDescent="0.2">
      <c r="H1701" s="4" t="s">
        <v>95</v>
      </c>
      <c r="I1701" s="13">
        <f>SUM(I1696:I1700)</f>
        <v>0</v>
      </c>
    </row>
    <row r="1705" spans="1:10" ht="15" x14ac:dyDescent="0.25">
      <c r="A1705" s="21" t="s">
        <v>1146</v>
      </c>
      <c r="B1705" s="22"/>
      <c r="C1705" s="22"/>
      <c r="D1705" s="22"/>
      <c r="E1705" s="22"/>
      <c r="F1705" s="22"/>
      <c r="G1705" s="22"/>
      <c r="H1705" s="22"/>
      <c r="I1705" s="22"/>
      <c r="J1705" s="22"/>
    </row>
    <row r="1706" spans="1:10" ht="15" x14ac:dyDescent="0.25">
      <c r="A1706" s="21" t="s">
        <v>1147</v>
      </c>
      <c r="B1706" s="22"/>
      <c r="C1706" s="22"/>
      <c r="D1706" s="22"/>
      <c r="E1706" s="22"/>
      <c r="F1706" s="22"/>
      <c r="G1706" s="22"/>
      <c r="H1706" s="22"/>
      <c r="I1706" s="22"/>
      <c r="J1706" s="22"/>
    </row>
    <row r="1708" spans="1:10" ht="15" x14ac:dyDescent="0.25">
      <c r="A1708" s="3" t="s">
        <v>2</v>
      </c>
      <c r="B1708" s="3" t="s">
        <v>3</v>
      </c>
      <c r="C1708" s="3" t="s">
        <v>4</v>
      </c>
      <c r="D1708" s="3" t="s">
        <v>5</v>
      </c>
      <c r="E1708" s="3" t="s">
        <v>6</v>
      </c>
      <c r="F1708" s="7" t="s">
        <v>7</v>
      </c>
      <c r="G1708" s="3" t="s">
        <v>8</v>
      </c>
      <c r="H1708" s="7" t="s">
        <v>9</v>
      </c>
      <c r="I1708" s="7" t="s">
        <v>10</v>
      </c>
      <c r="J1708" s="3" t="s">
        <v>11</v>
      </c>
    </row>
    <row r="1709" spans="1:10" ht="179.25" x14ac:dyDescent="0.2">
      <c r="A1709" s="2" t="s">
        <v>1148</v>
      </c>
      <c r="B1709" s="9">
        <v>1</v>
      </c>
      <c r="C1709" s="9">
        <v>1</v>
      </c>
      <c r="D1709" s="10" t="s">
        <v>13</v>
      </c>
      <c r="E1709" s="11" t="s">
        <v>1149</v>
      </c>
      <c r="F1709" s="12">
        <v>70</v>
      </c>
      <c r="G1709" s="10" t="s">
        <v>83</v>
      </c>
      <c r="H1709" s="13"/>
      <c r="I1709" s="13"/>
      <c r="J1709" s="10"/>
    </row>
    <row r="1710" spans="1:10" x14ac:dyDescent="0.2">
      <c r="A1710" s="2" t="s">
        <v>1148</v>
      </c>
      <c r="B1710" s="9">
        <v>1</v>
      </c>
      <c r="C1710" s="9">
        <v>1</v>
      </c>
      <c r="D1710" s="10" t="s">
        <v>16</v>
      </c>
      <c r="E1710" s="11" t="s">
        <v>1150</v>
      </c>
      <c r="F1710" s="12">
        <v>5</v>
      </c>
      <c r="G1710" s="10" t="s">
        <v>31</v>
      </c>
      <c r="H1710" s="13"/>
      <c r="I1710" s="13"/>
      <c r="J1710" s="10"/>
    </row>
    <row r="1711" spans="1:10" x14ac:dyDescent="0.2">
      <c r="A1711" s="2" t="s">
        <v>1148</v>
      </c>
      <c r="B1711" s="9">
        <v>1</v>
      </c>
      <c r="C1711" s="9">
        <v>1</v>
      </c>
      <c r="D1711" s="10" t="s">
        <v>18</v>
      </c>
      <c r="E1711" s="11" t="s">
        <v>1151</v>
      </c>
      <c r="F1711" s="12">
        <v>4</v>
      </c>
      <c r="G1711" s="10" t="s">
        <v>31</v>
      </c>
      <c r="H1711" s="13"/>
      <c r="I1711" s="13"/>
      <c r="J1711" s="10"/>
    </row>
    <row r="1712" spans="1:10" ht="164.25" x14ac:dyDescent="0.2">
      <c r="A1712" s="2" t="s">
        <v>1148</v>
      </c>
      <c r="B1712" s="9">
        <v>1</v>
      </c>
      <c r="C1712" s="9">
        <v>1</v>
      </c>
      <c r="D1712" s="10" t="s">
        <v>20</v>
      </c>
      <c r="E1712" s="11" t="s">
        <v>1152</v>
      </c>
      <c r="F1712" s="12">
        <v>4</v>
      </c>
      <c r="G1712" s="10" t="s">
        <v>83</v>
      </c>
      <c r="H1712" s="13"/>
      <c r="I1712" s="13"/>
      <c r="J1712" s="10"/>
    </row>
    <row r="1713" spans="1:10" x14ac:dyDescent="0.2">
      <c r="A1713" s="2" t="s">
        <v>1148</v>
      </c>
      <c r="B1713" s="9">
        <v>1</v>
      </c>
      <c r="C1713" s="9">
        <v>1</v>
      </c>
      <c r="D1713" s="10" t="s">
        <v>22</v>
      </c>
      <c r="E1713" s="11" t="s">
        <v>1153</v>
      </c>
      <c r="F1713" s="12">
        <v>44</v>
      </c>
      <c r="G1713" s="10" t="s">
        <v>83</v>
      </c>
      <c r="H1713" s="13"/>
      <c r="I1713" s="13"/>
      <c r="J1713" s="10"/>
    </row>
    <row r="1714" spans="1:10" x14ac:dyDescent="0.2">
      <c r="A1714" s="2" t="s">
        <v>1148</v>
      </c>
      <c r="B1714" s="9">
        <v>1</v>
      </c>
      <c r="C1714" s="9">
        <v>1</v>
      </c>
      <c r="D1714" s="10" t="s">
        <v>24</v>
      </c>
      <c r="E1714" s="11" t="s">
        <v>1154</v>
      </c>
      <c r="F1714" s="12">
        <v>61</v>
      </c>
      <c r="G1714" s="10" t="s">
        <v>83</v>
      </c>
      <c r="H1714" s="13"/>
      <c r="I1714" s="13"/>
      <c r="J1714" s="10"/>
    </row>
    <row r="1715" spans="1:10" x14ac:dyDescent="0.2">
      <c r="A1715" s="2" t="s">
        <v>1148</v>
      </c>
      <c r="B1715" s="9">
        <v>1</v>
      </c>
      <c r="C1715" s="9">
        <v>1</v>
      </c>
      <c r="D1715" s="10" t="s">
        <v>27</v>
      </c>
      <c r="E1715" s="11" t="s">
        <v>1155</v>
      </c>
      <c r="F1715" s="12">
        <v>15</v>
      </c>
      <c r="G1715" s="10" t="s">
        <v>83</v>
      </c>
      <c r="H1715" s="13"/>
      <c r="I1715" s="13"/>
      <c r="J1715" s="10"/>
    </row>
    <row r="1716" spans="1:10" x14ac:dyDescent="0.2">
      <c r="A1716" s="2" t="s">
        <v>1148</v>
      </c>
      <c r="B1716" s="9">
        <v>1</v>
      </c>
      <c r="C1716" s="9">
        <v>1</v>
      </c>
      <c r="D1716" s="10" t="s">
        <v>29</v>
      </c>
      <c r="E1716" s="11" t="s">
        <v>1156</v>
      </c>
      <c r="F1716" s="12">
        <v>1</v>
      </c>
      <c r="G1716" s="10" t="s">
        <v>83</v>
      </c>
      <c r="H1716" s="13"/>
      <c r="I1716" s="13"/>
      <c r="J1716" s="10"/>
    </row>
    <row r="1717" spans="1:10" ht="44.25" x14ac:dyDescent="0.2">
      <c r="A1717" s="2" t="s">
        <v>1148</v>
      </c>
      <c r="B1717" s="9">
        <v>1</v>
      </c>
      <c r="C1717" s="9">
        <v>1</v>
      </c>
      <c r="D1717" s="10" t="s">
        <v>32</v>
      </c>
      <c r="E1717" s="11" t="s">
        <v>1157</v>
      </c>
      <c r="F1717" s="12">
        <v>9</v>
      </c>
      <c r="G1717" s="10" t="s">
        <v>83</v>
      </c>
      <c r="H1717" s="13"/>
      <c r="I1717" s="13"/>
      <c r="J1717" s="10"/>
    </row>
    <row r="1718" spans="1:10" x14ac:dyDescent="0.2">
      <c r="A1718" s="2" t="s">
        <v>1148</v>
      </c>
      <c r="B1718" s="9">
        <v>1</v>
      </c>
      <c r="C1718" s="9">
        <v>1</v>
      </c>
      <c r="D1718" s="10" t="s">
        <v>33</v>
      </c>
      <c r="E1718" s="11" t="s">
        <v>1155</v>
      </c>
      <c r="F1718" s="12">
        <v>1</v>
      </c>
      <c r="G1718" s="10" t="s">
        <v>83</v>
      </c>
      <c r="H1718" s="13"/>
      <c r="I1718" s="13"/>
      <c r="J1718" s="10"/>
    </row>
    <row r="1719" spans="1:10" x14ac:dyDescent="0.2">
      <c r="A1719" s="1" t="s">
        <v>1158</v>
      </c>
      <c r="B1719" s="1"/>
      <c r="C1719" s="1"/>
      <c r="D1719" s="1"/>
      <c r="E1719" s="1"/>
      <c r="F1719" s="1"/>
      <c r="G1719" s="1"/>
      <c r="H1719" s="1" t="s">
        <v>67</v>
      </c>
      <c r="I1719" s="13">
        <f>I1709+I1710+I1711+I1712+I1713+I1714+I1715+I1716+I1717+I1718</f>
        <v>0</v>
      </c>
      <c r="J1719" s="1"/>
    </row>
    <row r="1722" spans="1:10" ht="15" x14ac:dyDescent="0.25">
      <c r="A1722" s="21" t="s">
        <v>1159</v>
      </c>
      <c r="B1722" s="22"/>
      <c r="C1722" s="22"/>
      <c r="D1722" s="22"/>
      <c r="E1722" s="22"/>
      <c r="F1722" s="22"/>
      <c r="G1722" s="22"/>
      <c r="H1722" s="22"/>
      <c r="I1722" s="22"/>
      <c r="J1722" s="22"/>
    </row>
    <row r="1723" spans="1:10" ht="15" x14ac:dyDescent="0.25">
      <c r="A1723" s="21" t="s">
        <v>1147</v>
      </c>
      <c r="B1723" s="22"/>
      <c r="C1723" s="22"/>
      <c r="D1723" s="22"/>
      <c r="E1723" s="22"/>
      <c r="F1723" s="22"/>
      <c r="G1723" s="22"/>
      <c r="H1723" s="22"/>
      <c r="I1723" s="22"/>
      <c r="J1723" s="22"/>
    </row>
    <row r="1725" spans="1:10" ht="15" x14ac:dyDescent="0.25">
      <c r="A1725" s="3" t="s">
        <v>2</v>
      </c>
      <c r="B1725" s="3" t="s">
        <v>3</v>
      </c>
      <c r="C1725" s="3" t="s">
        <v>4</v>
      </c>
      <c r="D1725" s="3" t="s">
        <v>5</v>
      </c>
      <c r="E1725" s="3" t="s">
        <v>6</v>
      </c>
      <c r="F1725" s="7" t="s">
        <v>7</v>
      </c>
      <c r="G1725" s="3" t="s">
        <v>8</v>
      </c>
      <c r="H1725" s="7" t="s">
        <v>9</v>
      </c>
      <c r="I1725" s="7" t="s">
        <v>10</v>
      </c>
      <c r="J1725" s="3" t="s">
        <v>11</v>
      </c>
    </row>
    <row r="1726" spans="1:10" ht="104.25" x14ac:dyDescent="0.2">
      <c r="A1726" s="2" t="s">
        <v>1148</v>
      </c>
      <c r="B1726" s="9">
        <v>1</v>
      </c>
      <c r="C1726" s="9">
        <v>2</v>
      </c>
      <c r="D1726" s="10" t="s">
        <v>13</v>
      </c>
      <c r="E1726" s="11" t="s">
        <v>1160</v>
      </c>
      <c r="F1726" s="12">
        <v>25</v>
      </c>
      <c r="G1726" s="10" t="s">
        <v>83</v>
      </c>
      <c r="H1726" s="13"/>
      <c r="I1726" s="13"/>
      <c r="J1726" s="10"/>
    </row>
    <row r="1727" spans="1:10" x14ac:dyDescent="0.2">
      <c r="A1727" s="2" t="s">
        <v>1148</v>
      </c>
      <c r="B1727" s="9">
        <v>1</v>
      </c>
      <c r="C1727" s="9">
        <v>2</v>
      </c>
      <c r="D1727" s="10" t="s">
        <v>16</v>
      </c>
      <c r="E1727" s="11" t="s">
        <v>1161</v>
      </c>
      <c r="F1727" s="12">
        <v>16</v>
      </c>
      <c r="G1727" s="10" t="s">
        <v>83</v>
      </c>
      <c r="H1727" s="13"/>
      <c r="I1727" s="13"/>
      <c r="J1727" s="10"/>
    </row>
    <row r="1728" spans="1:10" ht="89.25" x14ac:dyDescent="0.2">
      <c r="A1728" s="2" t="s">
        <v>1148</v>
      </c>
      <c r="B1728" s="9">
        <v>1</v>
      </c>
      <c r="C1728" s="9">
        <v>2</v>
      </c>
      <c r="D1728" s="10" t="s">
        <v>18</v>
      </c>
      <c r="E1728" s="11" t="s">
        <v>1162</v>
      </c>
      <c r="F1728" s="12">
        <v>10</v>
      </c>
      <c r="G1728" s="10" t="s">
        <v>83</v>
      </c>
      <c r="H1728" s="13"/>
      <c r="I1728" s="13"/>
      <c r="J1728" s="10"/>
    </row>
    <row r="1729" spans="1:10" x14ac:dyDescent="0.2">
      <c r="A1729" s="2" t="s">
        <v>1148</v>
      </c>
      <c r="B1729" s="9">
        <v>1</v>
      </c>
      <c r="C1729" s="9">
        <v>2</v>
      </c>
      <c r="D1729" s="10" t="s">
        <v>20</v>
      </c>
      <c r="E1729" s="11" t="s">
        <v>1163</v>
      </c>
      <c r="F1729" s="12">
        <v>1</v>
      </c>
      <c r="G1729" s="10" t="s">
        <v>83</v>
      </c>
      <c r="H1729" s="13"/>
      <c r="I1729" s="13"/>
      <c r="J1729" s="10"/>
    </row>
    <row r="1730" spans="1:10" x14ac:dyDescent="0.2">
      <c r="A1730" s="2" t="s">
        <v>1148</v>
      </c>
      <c r="B1730" s="9">
        <v>1</v>
      </c>
      <c r="C1730" s="9">
        <v>2</v>
      </c>
      <c r="D1730" s="10" t="s">
        <v>22</v>
      </c>
      <c r="E1730" s="11" t="s">
        <v>1164</v>
      </c>
      <c r="F1730" s="12">
        <v>41</v>
      </c>
      <c r="G1730" s="10" t="s">
        <v>83</v>
      </c>
      <c r="H1730" s="13"/>
      <c r="I1730" s="13"/>
      <c r="J1730" s="10"/>
    </row>
    <row r="1731" spans="1:10" ht="59.25" x14ac:dyDescent="0.2">
      <c r="A1731" s="2" t="s">
        <v>1148</v>
      </c>
      <c r="B1731" s="9">
        <v>1</v>
      </c>
      <c r="C1731" s="9">
        <v>2</v>
      </c>
      <c r="D1731" s="10" t="s">
        <v>24</v>
      </c>
      <c r="E1731" s="11" t="s">
        <v>1165</v>
      </c>
      <c r="F1731" s="12">
        <v>51</v>
      </c>
      <c r="G1731" s="10" t="s">
        <v>83</v>
      </c>
      <c r="H1731" s="13"/>
      <c r="I1731" s="13"/>
      <c r="J1731" s="10"/>
    </row>
    <row r="1732" spans="1:10" x14ac:dyDescent="0.2">
      <c r="A1732" s="2" t="s">
        <v>1148</v>
      </c>
      <c r="B1732" s="9">
        <v>1</v>
      </c>
      <c r="C1732" s="9">
        <v>2</v>
      </c>
      <c r="D1732" s="10" t="s">
        <v>27</v>
      </c>
      <c r="E1732" s="11" t="s">
        <v>1166</v>
      </c>
      <c r="F1732" s="12">
        <v>64</v>
      </c>
      <c r="G1732" s="10" t="s">
        <v>83</v>
      </c>
      <c r="H1732" s="13"/>
      <c r="I1732" s="13"/>
      <c r="J1732" s="10"/>
    </row>
    <row r="1733" spans="1:10" x14ac:dyDescent="0.2">
      <c r="A1733" s="2" t="s">
        <v>1148</v>
      </c>
      <c r="B1733" s="9">
        <v>1</v>
      </c>
      <c r="C1733" s="9">
        <v>2</v>
      </c>
      <c r="D1733" s="10" t="s">
        <v>29</v>
      </c>
      <c r="E1733" s="11" t="s">
        <v>1163</v>
      </c>
      <c r="F1733" s="12">
        <v>9</v>
      </c>
      <c r="G1733" s="10" t="s">
        <v>83</v>
      </c>
      <c r="H1733" s="13"/>
      <c r="I1733" s="13"/>
      <c r="J1733" s="10"/>
    </row>
    <row r="1734" spans="1:10" ht="74.25" x14ac:dyDescent="0.2">
      <c r="A1734" s="2" t="s">
        <v>1148</v>
      </c>
      <c r="B1734" s="9">
        <v>1</v>
      </c>
      <c r="C1734" s="9">
        <v>2</v>
      </c>
      <c r="D1734" s="10" t="s">
        <v>32</v>
      </c>
      <c r="E1734" s="11" t="s">
        <v>1167</v>
      </c>
      <c r="F1734" s="12">
        <v>51</v>
      </c>
      <c r="G1734" s="10" t="s">
        <v>83</v>
      </c>
      <c r="H1734" s="13"/>
      <c r="I1734" s="13"/>
      <c r="J1734" s="10"/>
    </row>
    <row r="1735" spans="1:10" x14ac:dyDescent="0.2">
      <c r="A1735" s="2" t="s">
        <v>1148</v>
      </c>
      <c r="B1735" s="9">
        <v>1</v>
      </c>
      <c r="C1735" s="9">
        <v>2</v>
      </c>
      <c r="D1735" s="10" t="s">
        <v>33</v>
      </c>
      <c r="E1735" s="11" t="s">
        <v>1168</v>
      </c>
      <c r="F1735" s="12">
        <v>76</v>
      </c>
      <c r="G1735" s="10" t="s">
        <v>31</v>
      </c>
      <c r="H1735" s="13"/>
      <c r="I1735" s="13"/>
      <c r="J1735" s="10"/>
    </row>
    <row r="1736" spans="1:10" x14ac:dyDescent="0.2">
      <c r="A1736" s="1" t="s">
        <v>1169</v>
      </c>
      <c r="B1736" s="1"/>
      <c r="C1736" s="1"/>
      <c r="D1736" s="1"/>
      <c r="E1736" s="1"/>
      <c r="F1736" s="1"/>
      <c r="G1736" s="1"/>
      <c r="H1736" s="1" t="s">
        <v>67</v>
      </c>
      <c r="I1736" s="13">
        <f>I1726+I1727+I1728+I1729+I1730+I1731+I1732+I1733+I1734+I1735</f>
        <v>0</v>
      </c>
      <c r="J1736" s="1"/>
    </row>
    <row r="1739" spans="1:10" ht="15" x14ac:dyDescent="0.25">
      <c r="A1739" s="21" t="s">
        <v>1170</v>
      </c>
      <c r="B1739" s="22"/>
      <c r="C1739" s="22"/>
      <c r="D1739" s="22"/>
      <c r="E1739" s="22"/>
      <c r="F1739" s="22"/>
      <c r="G1739" s="22"/>
      <c r="H1739" s="22"/>
      <c r="I1739" s="22"/>
      <c r="J1739" s="22"/>
    </row>
    <row r="1740" spans="1:10" ht="15" x14ac:dyDescent="0.25">
      <c r="A1740" s="21" t="s">
        <v>1147</v>
      </c>
      <c r="B1740" s="22"/>
      <c r="C1740" s="22"/>
      <c r="D1740" s="22"/>
      <c r="E1740" s="22"/>
      <c r="F1740" s="22"/>
      <c r="G1740" s="22"/>
      <c r="H1740" s="22"/>
      <c r="I1740" s="22"/>
      <c r="J1740" s="22"/>
    </row>
    <row r="1742" spans="1:10" ht="15" x14ac:dyDescent="0.25">
      <c r="A1742" s="3" t="s">
        <v>2</v>
      </c>
      <c r="B1742" s="3" t="s">
        <v>3</v>
      </c>
      <c r="C1742" s="3" t="s">
        <v>4</v>
      </c>
      <c r="D1742" s="3" t="s">
        <v>5</v>
      </c>
      <c r="E1742" s="3" t="s">
        <v>6</v>
      </c>
      <c r="F1742" s="7" t="s">
        <v>7</v>
      </c>
      <c r="G1742" s="3" t="s">
        <v>8</v>
      </c>
      <c r="H1742" s="7" t="s">
        <v>9</v>
      </c>
      <c r="I1742" s="7" t="s">
        <v>10</v>
      </c>
      <c r="J1742" s="3" t="s">
        <v>11</v>
      </c>
    </row>
    <row r="1743" spans="1:10" ht="104.25" x14ac:dyDescent="0.2">
      <c r="A1743" s="2" t="s">
        <v>1148</v>
      </c>
      <c r="B1743" s="9">
        <v>1</v>
      </c>
      <c r="C1743" s="9">
        <v>3</v>
      </c>
      <c r="D1743" s="10" t="s">
        <v>13</v>
      </c>
      <c r="E1743" s="11" t="s">
        <v>1171</v>
      </c>
      <c r="F1743" s="12">
        <v>17</v>
      </c>
      <c r="G1743" s="10" t="s">
        <v>31</v>
      </c>
      <c r="H1743" s="13"/>
      <c r="I1743" s="13"/>
      <c r="J1743" s="10"/>
    </row>
    <row r="1744" spans="1:10" x14ac:dyDescent="0.2">
      <c r="A1744" s="2" t="s">
        <v>1148</v>
      </c>
      <c r="B1744" s="9">
        <v>1</v>
      </c>
      <c r="C1744" s="9">
        <v>3</v>
      </c>
      <c r="D1744" s="10" t="s">
        <v>16</v>
      </c>
      <c r="E1744" s="11" t="s">
        <v>1172</v>
      </c>
      <c r="F1744" s="12">
        <v>1</v>
      </c>
      <c r="G1744" s="10" t="s">
        <v>31</v>
      </c>
      <c r="H1744" s="13"/>
      <c r="I1744" s="13"/>
      <c r="J1744" s="10"/>
    </row>
    <row r="1745" spans="1:10" x14ac:dyDescent="0.2">
      <c r="A1745" s="2" t="s">
        <v>1148</v>
      </c>
      <c r="B1745" s="9">
        <v>1</v>
      </c>
      <c r="C1745" s="9">
        <v>3</v>
      </c>
      <c r="D1745" s="10" t="s">
        <v>18</v>
      </c>
      <c r="E1745" s="11" t="s">
        <v>1173</v>
      </c>
      <c r="F1745" s="12">
        <v>5</v>
      </c>
      <c r="G1745" s="10" t="s">
        <v>31</v>
      </c>
      <c r="H1745" s="13"/>
      <c r="I1745" s="13"/>
      <c r="J1745" s="10"/>
    </row>
    <row r="1746" spans="1:10" x14ac:dyDescent="0.2">
      <c r="A1746" s="2" t="s">
        <v>1148</v>
      </c>
      <c r="B1746" s="9">
        <v>1</v>
      </c>
      <c r="C1746" s="9">
        <v>3</v>
      </c>
      <c r="D1746" s="10" t="s">
        <v>20</v>
      </c>
      <c r="E1746" s="11" t="s">
        <v>1174</v>
      </c>
      <c r="F1746" s="12">
        <v>74</v>
      </c>
      <c r="G1746" s="10" t="s">
        <v>83</v>
      </c>
      <c r="H1746" s="13"/>
      <c r="I1746" s="13"/>
      <c r="J1746" s="10"/>
    </row>
    <row r="1747" spans="1:10" x14ac:dyDescent="0.2">
      <c r="A1747" s="2" t="s">
        <v>1148</v>
      </c>
      <c r="B1747" s="9">
        <v>1</v>
      </c>
      <c r="C1747" s="9">
        <v>3</v>
      </c>
      <c r="D1747" s="10" t="s">
        <v>22</v>
      </c>
      <c r="E1747" s="11" t="s">
        <v>1168</v>
      </c>
      <c r="F1747" s="12">
        <v>50</v>
      </c>
      <c r="G1747" s="10" t="s">
        <v>31</v>
      </c>
      <c r="H1747" s="13"/>
      <c r="I1747" s="13"/>
      <c r="J1747" s="10"/>
    </row>
    <row r="1748" spans="1:10" x14ac:dyDescent="0.2">
      <c r="A1748" s="2" t="s">
        <v>1148</v>
      </c>
      <c r="B1748" s="9">
        <v>1</v>
      </c>
      <c r="C1748" s="9">
        <v>3</v>
      </c>
      <c r="D1748" s="10" t="s">
        <v>24</v>
      </c>
      <c r="E1748" s="11" t="s">
        <v>1175</v>
      </c>
      <c r="F1748" s="12">
        <v>3</v>
      </c>
      <c r="G1748" s="10" t="s">
        <v>31</v>
      </c>
      <c r="H1748" s="13"/>
      <c r="I1748" s="13"/>
      <c r="J1748" s="10"/>
    </row>
    <row r="1749" spans="1:10" x14ac:dyDescent="0.2">
      <c r="A1749" s="2" t="s">
        <v>1148</v>
      </c>
      <c r="B1749" s="9">
        <v>1</v>
      </c>
      <c r="C1749" s="9">
        <v>3</v>
      </c>
      <c r="D1749" s="10" t="s">
        <v>27</v>
      </c>
      <c r="E1749" s="11" t="s">
        <v>1176</v>
      </c>
      <c r="F1749" s="12">
        <v>13</v>
      </c>
      <c r="G1749" s="10" t="s">
        <v>31</v>
      </c>
      <c r="H1749" s="13"/>
      <c r="I1749" s="13"/>
      <c r="J1749" s="10"/>
    </row>
    <row r="1750" spans="1:10" x14ac:dyDescent="0.2">
      <c r="A1750" s="2" t="s">
        <v>1148</v>
      </c>
      <c r="B1750" s="9">
        <v>1</v>
      </c>
      <c r="C1750" s="9">
        <v>3</v>
      </c>
      <c r="D1750" s="10" t="s">
        <v>29</v>
      </c>
      <c r="E1750" s="11" t="s">
        <v>1177</v>
      </c>
      <c r="F1750" s="12">
        <v>10</v>
      </c>
      <c r="G1750" s="10" t="s">
        <v>83</v>
      </c>
      <c r="H1750" s="13"/>
      <c r="I1750" s="13"/>
      <c r="J1750" s="10"/>
    </row>
    <row r="1751" spans="1:10" x14ac:dyDescent="0.2">
      <c r="A1751" s="2" t="s">
        <v>1148</v>
      </c>
      <c r="B1751" s="9">
        <v>1</v>
      </c>
      <c r="C1751" s="9">
        <v>3</v>
      </c>
      <c r="D1751" s="10" t="s">
        <v>32</v>
      </c>
      <c r="E1751" s="11" t="s">
        <v>1168</v>
      </c>
      <c r="F1751" s="12">
        <v>6</v>
      </c>
      <c r="G1751" s="10" t="s">
        <v>31</v>
      </c>
      <c r="H1751" s="13"/>
      <c r="I1751" s="13"/>
      <c r="J1751" s="10"/>
    </row>
    <row r="1752" spans="1:10" x14ac:dyDescent="0.2">
      <c r="A1752" s="2" t="s">
        <v>1148</v>
      </c>
      <c r="B1752" s="9">
        <v>1</v>
      </c>
      <c r="C1752" s="9">
        <v>3</v>
      </c>
      <c r="D1752" s="10" t="s">
        <v>33</v>
      </c>
      <c r="E1752" s="11" t="s">
        <v>1178</v>
      </c>
      <c r="F1752" s="12">
        <v>41</v>
      </c>
      <c r="G1752" s="10" t="s">
        <v>83</v>
      </c>
      <c r="H1752" s="13"/>
      <c r="I1752" s="13"/>
      <c r="J1752" s="10"/>
    </row>
    <row r="1753" spans="1:10" x14ac:dyDescent="0.2">
      <c r="A1753" s="2" t="s">
        <v>1148</v>
      </c>
      <c r="B1753" s="9">
        <v>1</v>
      </c>
      <c r="C1753" s="9">
        <v>3</v>
      </c>
      <c r="D1753" s="10" t="s">
        <v>34</v>
      </c>
      <c r="E1753" s="11" t="s">
        <v>1168</v>
      </c>
      <c r="F1753" s="12">
        <v>10</v>
      </c>
      <c r="G1753" s="10" t="s">
        <v>31</v>
      </c>
      <c r="H1753" s="13"/>
      <c r="I1753" s="13"/>
      <c r="J1753" s="10"/>
    </row>
    <row r="1754" spans="1:10" x14ac:dyDescent="0.2">
      <c r="A1754" s="2" t="s">
        <v>1148</v>
      </c>
      <c r="B1754" s="9">
        <v>1</v>
      </c>
      <c r="C1754" s="9">
        <v>3</v>
      </c>
      <c r="D1754" s="10" t="s">
        <v>35</v>
      </c>
      <c r="E1754" s="11" t="s">
        <v>1179</v>
      </c>
      <c r="F1754" s="12">
        <v>4</v>
      </c>
      <c r="G1754" s="10" t="s">
        <v>31</v>
      </c>
      <c r="H1754" s="13"/>
      <c r="I1754" s="13"/>
      <c r="J1754" s="10"/>
    </row>
    <row r="1755" spans="1:10" ht="74.25" x14ac:dyDescent="0.2">
      <c r="A1755" s="2" t="s">
        <v>1148</v>
      </c>
      <c r="B1755" s="9">
        <v>1</v>
      </c>
      <c r="C1755" s="9">
        <v>3</v>
      </c>
      <c r="D1755" s="10" t="s">
        <v>36</v>
      </c>
      <c r="E1755" s="11" t="s">
        <v>1180</v>
      </c>
      <c r="F1755" s="12">
        <v>5</v>
      </c>
      <c r="G1755" s="10" t="s">
        <v>31</v>
      </c>
      <c r="H1755" s="13"/>
      <c r="I1755" s="13"/>
      <c r="J1755" s="10"/>
    </row>
    <row r="1756" spans="1:10" x14ac:dyDescent="0.2">
      <c r="A1756" s="2" t="s">
        <v>1148</v>
      </c>
      <c r="B1756" s="9">
        <v>1</v>
      </c>
      <c r="C1756" s="9">
        <v>3</v>
      </c>
      <c r="D1756" s="10" t="s">
        <v>40</v>
      </c>
      <c r="E1756" s="11" t="s">
        <v>1181</v>
      </c>
      <c r="F1756" s="12">
        <v>14.000000000000002</v>
      </c>
      <c r="G1756" s="10" t="s">
        <v>31</v>
      </c>
      <c r="H1756" s="13"/>
      <c r="I1756" s="13"/>
      <c r="J1756" s="10"/>
    </row>
    <row r="1757" spans="1:10" x14ac:dyDescent="0.2">
      <c r="A1757" s="2" t="s">
        <v>1148</v>
      </c>
      <c r="B1757" s="9">
        <v>1</v>
      </c>
      <c r="C1757" s="9">
        <v>3</v>
      </c>
      <c r="D1757" s="10" t="s">
        <v>42</v>
      </c>
      <c r="E1757" s="11" t="s">
        <v>1182</v>
      </c>
      <c r="F1757" s="12">
        <v>3</v>
      </c>
      <c r="G1757" s="10" t="s">
        <v>31</v>
      </c>
      <c r="H1757" s="13"/>
      <c r="I1757" s="13"/>
      <c r="J1757" s="10"/>
    </row>
    <row r="1758" spans="1:10" x14ac:dyDescent="0.2">
      <c r="A1758" s="2" t="s">
        <v>1148</v>
      </c>
      <c r="B1758" s="9">
        <v>1</v>
      </c>
      <c r="C1758" s="9">
        <v>3</v>
      </c>
      <c r="D1758" s="10" t="s">
        <v>44</v>
      </c>
      <c r="E1758" s="11" t="s">
        <v>1183</v>
      </c>
      <c r="F1758" s="12">
        <v>7.0000000000000009</v>
      </c>
      <c r="G1758" s="10" t="s">
        <v>31</v>
      </c>
      <c r="H1758" s="13"/>
      <c r="I1758" s="13"/>
      <c r="J1758" s="10"/>
    </row>
    <row r="1759" spans="1:10" x14ac:dyDescent="0.2">
      <c r="A1759" s="1" t="s">
        <v>1184</v>
      </c>
      <c r="B1759" s="1"/>
      <c r="C1759" s="1"/>
      <c r="D1759" s="1"/>
      <c r="E1759" s="1"/>
      <c r="F1759" s="1"/>
      <c r="G1759" s="1"/>
      <c r="H1759" s="1" t="s">
        <v>67</v>
      </c>
      <c r="I1759" s="13">
        <f>I1743+I1744+I1745+I1746+I1747+I1748+I1749+I1750+I1751+I1752+I1753+I1754+I1755+I1756+I1757+I1758</f>
        <v>0</v>
      </c>
      <c r="J1759" s="1"/>
    </row>
    <row r="1762" spans="1:10" ht="15" x14ac:dyDescent="0.25">
      <c r="A1762" s="21" t="s">
        <v>1185</v>
      </c>
      <c r="B1762" s="22"/>
      <c r="C1762" s="22"/>
      <c r="D1762" s="22"/>
      <c r="E1762" s="22"/>
      <c r="F1762" s="22"/>
      <c r="G1762" s="22"/>
      <c r="H1762" s="22"/>
      <c r="I1762" s="22"/>
      <c r="J1762" s="22"/>
    </row>
    <row r="1763" spans="1:10" ht="15" x14ac:dyDescent="0.25">
      <c r="A1763" s="21" t="s">
        <v>1147</v>
      </c>
      <c r="B1763" s="22"/>
      <c r="C1763" s="22"/>
      <c r="D1763" s="22"/>
      <c r="E1763" s="22"/>
      <c r="F1763" s="22"/>
      <c r="G1763" s="22"/>
      <c r="H1763" s="22"/>
      <c r="I1763" s="22"/>
      <c r="J1763" s="22"/>
    </row>
    <row r="1765" spans="1:10" ht="15" x14ac:dyDescent="0.25">
      <c r="A1765" s="3" t="s">
        <v>2</v>
      </c>
      <c r="B1765" s="3" t="s">
        <v>3</v>
      </c>
      <c r="C1765" s="3" t="s">
        <v>4</v>
      </c>
      <c r="D1765" s="3" t="s">
        <v>5</v>
      </c>
      <c r="E1765" s="3" t="s">
        <v>6</v>
      </c>
      <c r="F1765" s="7" t="s">
        <v>7</v>
      </c>
      <c r="G1765" s="3" t="s">
        <v>8</v>
      </c>
      <c r="H1765" s="7" t="s">
        <v>9</v>
      </c>
      <c r="I1765" s="7" t="s">
        <v>10</v>
      </c>
      <c r="J1765" s="3" t="s">
        <v>11</v>
      </c>
    </row>
    <row r="1766" spans="1:10" ht="164.25" x14ac:dyDescent="0.2">
      <c r="A1766" s="2" t="s">
        <v>1148</v>
      </c>
      <c r="B1766" s="9">
        <v>1</v>
      </c>
      <c r="C1766" s="9">
        <v>4</v>
      </c>
      <c r="D1766" s="10" t="s">
        <v>13</v>
      </c>
      <c r="E1766" s="11" t="s">
        <v>1186</v>
      </c>
      <c r="F1766" s="12">
        <v>1</v>
      </c>
      <c r="G1766" s="10" t="s">
        <v>31</v>
      </c>
      <c r="H1766" s="13"/>
      <c r="I1766" s="13"/>
      <c r="J1766" s="10"/>
    </row>
    <row r="1767" spans="1:10" x14ac:dyDescent="0.2">
      <c r="A1767" s="2" t="s">
        <v>1148</v>
      </c>
      <c r="B1767" s="9">
        <v>1</v>
      </c>
      <c r="C1767" s="9">
        <v>4</v>
      </c>
      <c r="D1767" s="10" t="s">
        <v>16</v>
      </c>
      <c r="E1767" s="11" t="s">
        <v>1187</v>
      </c>
      <c r="F1767" s="12">
        <v>2</v>
      </c>
      <c r="G1767" s="10" t="s">
        <v>31</v>
      </c>
      <c r="H1767" s="13"/>
      <c r="I1767" s="13"/>
      <c r="J1767" s="10"/>
    </row>
    <row r="1768" spans="1:10" x14ac:dyDescent="0.2">
      <c r="A1768" s="2" t="s">
        <v>1148</v>
      </c>
      <c r="B1768" s="9">
        <v>1</v>
      </c>
      <c r="C1768" s="9">
        <v>4</v>
      </c>
      <c r="D1768" s="10" t="s">
        <v>18</v>
      </c>
      <c r="E1768" s="11" t="s">
        <v>1188</v>
      </c>
      <c r="F1768" s="12">
        <v>1</v>
      </c>
      <c r="G1768" s="10" t="s">
        <v>31</v>
      </c>
      <c r="H1768" s="13"/>
      <c r="I1768" s="13"/>
      <c r="J1768" s="10"/>
    </row>
    <row r="1769" spans="1:10" ht="28.5" x14ac:dyDescent="0.2">
      <c r="A1769" s="2" t="s">
        <v>1148</v>
      </c>
      <c r="B1769" s="9">
        <v>1</v>
      </c>
      <c r="C1769" s="9">
        <v>4</v>
      </c>
      <c r="D1769" s="10" t="s">
        <v>20</v>
      </c>
      <c r="E1769" s="11" t="s">
        <v>1189</v>
      </c>
      <c r="F1769" s="12">
        <v>1</v>
      </c>
      <c r="G1769" s="10" t="s">
        <v>31</v>
      </c>
      <c r="H1769" s="13"/>
      <c r="I1769" s="13"/>
      <c r="J1769" s="10"/>
    </row>
    <row r="1770" spans="1:10" ht="28.5" x14ac:dyDescent="0.2">
      <c r="A1770" s="2" t="s">
        <v>1148</v>
      </c>
      <c r="B1770" s="9">
        <v>1</v>
      </c>
      <c r="C1770" s="9">
        <v>4</v>
      </c>
      <c r="D1770" s="10" t="s">
        <v>22</v>
      </c>
      <c r="E1770" s="11" t="s">
        <v>1190</v>
      </c>
      <c r="F1770" s="12">
        <v>1</v>
      </c>
      <c r="G1770" s="10" t="s">
        <v>31</v>
      </c>
      <c r="H1770" s="13"/>
      <c r="I1770" s="13"/>
      <c r="J1770" s="10"/>
    </row>
    <row r="1771" spans="1:10" ht="119.25" x14ac:dyDescent="0.2">
      <c r="A1771" s="2" t="s">
        <v>1148</v>
      </c>
      <c r="B1771" s="9">
        <v>1</v>
      </c>
      <c r="C1771" s="9">
        <v>4</v>
      </c>
      <c r="D1771" s="10" t="s">
        <v>24</v>
      </c>
      <c r="E1771" s="11" t="s">
        <v>1191</v>
      </c>
      <c r="F1771" s="12">
        <v>1</v>
      </c>
      <c r="G1771" s="10" t="s">
        <v>31</v>
      </c>
      <c r="H1771" s="13"/>
      <c r="I1771" s="13"/>
      <c r="J1771" s="10"/>
    </row>
    <row r="1772" spans="1:10" x14ac:dyDescent="0.2">
      <c r="A1772" s="2" t="s">
        <v>1148</v>
      </c>
      <c r="B1772" s="9">
        <v>1</v>
      </c>
      <c r="C1772" s="9">
        <v>4</v>
      </c>
      <c r="D1772" s="10" t="s">
        <v>27</v>
      </c>
      <c r="E1772" s="11" t="s">
        <v>1192</v>
      </c>
      <c r="F1772" s="12">
        <v>2</v>
      </c>
      <c r="G1772" s="10" t="s">
        <v>31</v>
      </c>
      <c r="H1772" s="13"/>
      <c r="I1772" s="13"/>
      <c r="J1772" s="10"/>
    </row>
    <row r="1773" spans="1:10" x14ac:dyDescent="0.2">
      <c r="A1773" s="2" t="s">
        <v>1148</v>
      </c>
      <c r="B1773" s="9">
        <v>1</v>
      </c>
      <c r="C1773" s="9">
        <v>4</v>
      </c>
      <c r="D1773" s="10" t="s">
        <v>29</v>
      </c>
      <c r="E1773" s="11" t="s">
        <v>1193</v>
      </c>
      <c r="F1773" s="12">
        <v>1</v>
      </c>
      <c r="G1773" s="10" t="s">
        <v>31</v>
      </c>
      <c r="H1773" s="13"/>
      <c r="I1773" s="13"/>
      <c r="J1773" s="10"/>
    </row>
    <row r="1774" spans="1:10" x14ac:dyDescent="0.2">
      <c r="A1774" s="1" t="s">
        <v>1194</v>
      </c>
      <c r="B1774" s="1"/>
      <c r="C1774" s="1"/>
      <c r="D1774" s="1"/>
      <c r="E1774" s="1"/>
      <c r="F1774" s="1"/>
      <c r="G1774" s="1"/>
      <c r="H1774" s="1" t="s">
        <v>67</v>
      </c>
      <c r="I1774" s="13">
        <f>I1766+I1767+I1768+I1769+I1770+I1771+I1772+I1773</f>
        <v>0</v>
      </c>
      <c r="J1774" s="1"/>
    </row>
    <row r="1777" spans="1:10" ht="15" x14ac:dyDescent="0.25">
      <c r="A1777" s="21" t="s">
        <v>1195</v>
      </c>
      <c r="B1777" s="22"/>
      <c r="C1777" s="22"/>
      <c r="D1777" s="22"/>
      <c r="E1777" s="22"/>
      <c r="F1777" s="22"/>
      <c r="G1777" s="22"/>
      <c r="H1777" s="22"/>
      <c r="I1777" s="22"/>
      <c r="J1777" s="22"/>
    </row>
    <row r="1778" spans="1:10" ht="15" x14ac:dyDescent="0.25">
      <c r="A1778" s="21" t="s">
        <v>1147</v>
      </c>
      <c r="B1778" s="22"/>
      <c r="C1778" s="22"/>
      <c r="D1778" s="22"/>
      <c r="E1778" s="22"/>
      <c r="F1778" s="22"/>
      <c r="G1778" s="22"/>
      <c r="H1778" s="22"/>
      <c r="I1778" s="22"/>
      <c r="J1778" s="22"/>
    </row>
    <row r="1780" spans="1:10" ht="15" x14ac:dyDescent="0.25">
      <c r="A1780" s="3" t="s">
        <v>2</v>
      </c>
      <c r="B1780" s="3" t="s">
        <v>3</v>
      </c>
      <c r="C1780" s="3" t="s">
        <v>4</v>
      </c>
      <c r="D1780" s="3" t="s">
        <v>5</v>
      </c>
      <c r="E1780" s="3" t="s">
        <v>6</v>
      </c>
      <c r="F1780" s="7" t="s">
        <v>7</v>
      </c>
      <c r="G1780" s="3" t="s">
        <v>8</v>
      </c>
      <c r="H1780" s="7" t="s">
        <v>9</v>
      </c>
      <c r="I1780" s="7" t="s">
        <v>10</v>
      </c>
      <c r="J1780" s="3" t="s">
        <v>11</v>
      </c>
    </row>
    <row r="1781" spans="1:10" ht="134.25" x14ac:dyDescent="0.2">
      <c r="A1781" s="2" t="s">
        <v>1148</v>
      </c>
      <c r="B1781" s="9">
        <v>1</v>
      </c>
      <c r="C1781" s="9">
        <v>5</v>
      </c>
      <c r="D1781" s="10" t="s">
        <v>13</v>
      </c>
      <c r="E1781" s="11" t="s">
        <v>1196</v>
      </c>
      <c r="F1781" s="12">
        <v>1</v>
      </c>
      <c r="G1781" s="10" t="s">
        <v>31</v>
      </c>
      <c r="H1781" s="13"/>
      <c r="I1781" s="13"/>
      <c r="J1781" s="10"/>
    </row>
    <row r="1782" spans="1:10" ht="104.25" x14ac:dyDescent="0.2">
      <c r="A1782" s="2" t="s">
        <v>1148</v>
      </c>
      <c r="B1782" s="9">
        <v>1</v>
      </c>
      <c r="C1782" s="9">
        <v>5</v>
      </c>
      <c r="D1782" s="10" t="s">
        <v>16</v>
      </c>
      <c r="E1782" s="11" t="s">
        <v>1197</v>
      </c>
      <c r="F1782" s="12">
        <v>1</v>
      </c>
      <c r="G1782" s="10" t="s">
        <v>31</v>
      </c>
      <c r="H1782" s="13"/>
      <c r="I1782" s="13"/>
      <c r="J1782" s="10"/>
    </row>
    <row r="1783" spans="1:10" x14ac:dyDescent="0.2">
      <c r="A1783" s="2" t="s">
        <v>1148</v>
      </c>
      <c r="B1783" s="9">
        <v>1</v>
      </c>
      <c r="C1783" s="9">
        <v>5</v>
      </c>
      <c r="D1783" s="10" t="s">
        <v>18</v>
      </c>
      <c r="E1783" s="11" t="s">
        <v>1198</v>
      </c>
      <c r="F1783" s="12">
        <v>1</v>
      </c>
      <c r="G1783" s="10" t="s">
        <v>31</v>
      </c>
      <c r="H1783" s="13"/>
      <c r="I1783" s="13"/>
      <c r="J1783" s="10"/>
    </row>
    <row r="1784" spans="1:10" ht="74.25" x14ac:dyDescent="0.2">
      <c r="A1784" s="2" t="s">
        <v>1148</v>
      </c>
      <c r="B1784" s="9">
        <v>1</v>
      </c>
      <c r="C1784" s="9">
        <v>5</v>
      </c>
      <c r="D1784" s="10" t="s">
        <v>20</v>
      </c>
      <c r="E1784" s="11" t="s">
        <v>1199</v>
      </c>
      <c r="F1784" s="12">
        <v>1</v>
      </c>
      <c r="G1784" s="10" t="s">
        <v>15</v>
      </c>
      <c r="H1784" s="13"/>
      <c r="I1784" s="13"/>
      <c r="J1784" s="10"/>
    </row>
    <row r="1785" spans="1:10" x14ac:dyDescent="0.2">
      <c r="A1785" s="2" t="s">
        <v>1148</v>
      </c>
      <c r="B1785" s="9">
        <v>1</v>
      </c>
      <c r="C1785" s="9">
        <v>5</v>
      </c>
      <c r="D1785" s="10" t="s">
        <v>22</v>
      </c>
      <c r="E1785" s="11" t="s">
        <v>1200</v>
      </c>
      <c r="F1785" s="12">
        <v>1</v>
      </c>
      <c r="G1785" s="10" t="s">
        <v>15</v>
      </c>
      <c r="H1785" s="13"/>
      <c r="I1785" s="13"/>
      <c r="J1785" s="10"/>
    </row>
    <row r="1786" spans="1:10" ht="44.25" x14ac:dyDescent="0.2">
      <c r="A1786" s="2" t="s">
        <v>1148</v>
      </c>
      <c r="B1786" s="9">
        <v>1</v>
      </c>
      <c r="C1786" s="9">
        <v>5</v>
      </c>
      <c r="D1786" s="10" t="s">
        <v>24</v>
      </c>
      <c r="E1786" s="11" t="s">
        <v>1201</v>
      </c>
      <c r="F1786" s="12">
        <v>1</v>
      </c>
      <c r="G1786" s="10" t="s">
        <v>15</v>
      </c>
      <c r="H1786" s="13"/>
      <c r="I1786" s="13"/>
      <c r="J1786" s="10"/>
    </row>
    <row r="1787" spans="1:10" x14ac:dyDescent="0.2">
      <c r="A1787" s="2" t="s">
        <v>1148</v>
      </c>
      <c r="B1787" s="9">
        <v>1</v>
      </c>
      <c r="C1787" s="9">
        <v>5</v>
      </c>
      <c r="D1787" s="10" t="s">
        <v>27</v>
      </c>
      <c r="E1787" s="11" t="s">
        <v>1200</v>
      </c>
      <c r="F1787" s="12">
        <v>1</v>
      </c>
      <c r="G1787" s="10" t="s">
        <v>15</v>
      </c>
      <c r="H1787" s="13"/>
      <c r="I1787" s="13"/>
      <c r="J1787" s="10"/>
    </row>
    <row r="1788" spans="1:10" ht="44.25" x14ac:dyDescent="0.2">
      <c r="A1788" s="2" t="s">
        <v>1148</v>
      </c>
      <c r="B1788" s="9">
        <v>1</v>
      </c>
      <c r="C1788" s="9">
        <v>5</v>
      </c>
      <c r="D1788" s="10" t="s">
        <v>29</v>
      </c>
      <c r="E1788" s="11" t="s">
        <v>1202</v>
      </c>
      <c r="F1788" s="12">
        <v>1</v>
      </c>
      <c r="G1788" s="10" t="s">
        <v>15</v>
      </c>
      <c r="H1788" s="13"/>
      <c r="I1788" s="13"/>
      <c r="J1788" s="10"/>
    </row>
    <row r="1789" spans="1:10" x14ac:dyDescent="0.2">
      <c r="A1789" s="2" t="s">
        <v>1148</v>
      </c>
      <c r="B1789" s="9">
        <v>1</v>
      </c>
      <c r="C1789" s="9">
        <v>5</v>
      </c>
      <c r="D1789" s="10" t="s">
        <v>32</v>
      </c>
      <c r="E1789" s="11" t="s">
        <v>1200</v>
      </c>
      <c r="F1789" s="12">
        <v>1</v>
      </c>
      <c r="G1789" s="10" t="s">
        <v>15</v>
      </c>
      <c r="H1789" s="13"/>
      <c r="I1789" s="13"/>
      <c r="J1789" s="10"/>
    </row>
    <row r="1790" spans="1:10" ht="44.25" x14ac:dyDescent="0.2">
      <c r="A1790" s="2" t="s">
        <v>1148</v>
      </c>
      <c r="B1790" s="9">
        <v>1</v>
      </c>
      <c r="C1790" s="9">
        <v>5</v>
      </c>
      <c r="D1790" s="10" t="s">
        <v>33</v>
      </c>
      <c r="E1790" s="11" t="s">
        <v>1203</v>
      </c>
      <c r="F1790" s="12">
        <v>1</v>
      </c>
      <c r="G1790" s="10" t="s">
        <v>15</v>
      </c>
      <c r="H1790" s="13"/>
      <c r="I1790" s="13"/>
      <c r="J1790" s="10"/>
    </row>
    <row r="1791" spans="1:10" x14ac:dyDescent="0.2">
      <c r="A1791" s="2" t="s">
        <v>1148</v>
      </c>
      <c r="B1791" s="9">
        <v>1</v>
      </c>
      <c r="C1791" s="9">
        <v>5</v>
      </c>
      <c r="D1791" s="10" t="s">
        <v>34</v>
      </c>
      <c r="E1791" s="11" t="s">
        <v>1200</v>
      </c>
      <c r="F1791" s="12">
        <v>1</v>
      </c>
      <c r="G1791" s="10" t="s">
        <v>15</v>
      </c>
      <c r="H1791" s="13"/>
      <c r="I1791" s="13"/>
      <c r="J1791" s="10"/>
    </row>
    <row r="1792" spans="1:10" x14ac:dyDescent="0.2">
      <c r="A1792" s="1" t="s">
        <v>1204</v>
      </c>
      <c r="B1792" s="1"/>
      <c r="C1792" s="1"/>
      <c r="D1792" s="1"/>
      <c r="E1792" s="1"/>
      <c r="F1792" s="1"/>
      <c r="G1792" s="1"/>
      <c r="H1792" s="1" t="s">
        <v>67</v>
      </c>
      <c r="I1792" s="13">
        <f>I1781+I1782+I1783+I1784+I1785+I1786+I1787+I1788+I1789+I1790+I1791</f>
        <v>0</v>
      </c>
      <c r="J1792" s="1"/>
    </row>
    <row r="1795" spans="1:10" ht="15" x14ac:dyDescent="0.25">
      <c r="A1795" s="21" t="s">
        <v>1205</v>
      </c>
      <c r="B1795" s="22"/>
      <c r="C1795" s="22"/>
      <c r="D1795" s="22"/>
      <c r="E1795" s="22"/>
      <c r="F1795" s="22"/>
      <c r="G1795" s="22"/>
      <c r="H1795" s="22"/>
      <c r="I1795" s="22"/>
      <c r="J1795" s="22"/>
    </row>
    <row r="1796" spans="1:10" ht="15" x14ac:dyDescent="0.25">
      <c r="A1796" s="21" t="s">
        <v>1147</v>
      </c>
      <c r="B1796" s="22"/>
      <c r="C1796" s="22"/>
      <c r="D1796" s="22"/>
      <c r="E1796" s="22"/>
      <c r="F1796" s="22"/>
      <c r="G1796" s="22"/>
      <c r="H1796" s="22"/>
      <c r="I1796" s="22"/>
      <c r="J1796" s="22"/>
    </row>
    <row r="1798" spans="1:10" ht="15" x14ac:dyDescent="0.25">
      <c r="A1798" s="3" t="s">
        <v>2</v>
      </c>
      <c r="B1798" s="3" t="s">
        <v>3</v>
      </c>
      <c r="C1798" s="3" t="s">
        <v>4</v>
      </c>
      <c r="D1798" s="3" t="s">
        <v>5</v>
      </c>
      <c r="E1798" s="3" t="s">
        <v>6</v>
      </c>
      <c r="F1798" s="7" t="s">
        <v>7</v>
      </c>
      <c r="G1798" s="3" t="s">
        <v>8</v>
      </c>
      <c r="H1798" s="7" t="s">
        <v>9</v>
      </c>
      <c r="I1798" s="7" t="s">
        <v>10</v>
      </c>
      <c r="J1798" s="3" t="s">
        <v>11</v>
      </c>
    </row>
    <row r="1799" spans="1:10" ht="74.25" x14ac:dyDescent="0.2">
      <c r="A1799" s="2" t="s">
        <v>1148</v>
      </c>
      <c r="B1799" s="9">
        <v>1</v>
      </c>
      <c r="C1799" s="9">
        <v>6</v>
      </c>
      <c r="D1799" s="10" t="s">
        <v>13</v>
      </c>
      <c r="E1799" s="11" t="s">
        <v>1206</v>
      </c>
      <c r="F1799" s="12">
        <v>1</v>
      </c>
      <c r="G1799" s="10" t="s">
        <v>15</v>
      </c>
      <c r="H1799" s="13"/>
      <c r="I1799" s="13"/>
      <c r="J1799" s="10"/>
    </row>
    <row r="1800" spans="1:10" ht="74.25" x14ac:dyDescent="0.2">
      <c r="A1800" s="2" t="s">
        <v>1148</v>
      </c>
      <c r="B1800" s="9">
        <v>1</v>
      </c>
      <c r="C1800" s="9">
        <v>6</v>
      </c>
      <c r="D1800" s="10" t="s">
        <v>16</v>
      </c>
      <c r="E1800" s="11" t="s">
        <v>1207</v>
      </c>
      <c r="F1800" s="12">
        <v>1</v>
      </c>
      <c r="G1800" s="10" t="s">
        <v>15</v>
      </c>
      <c r="H1800" s="13"/>
      <c r="I1800" s="13"/>
      <c r="J1800" s="10"/>
    </row>
    <row r="1801" spans="1:10" x14ac:dyDescent="0.2">
      <c r="A1801" s="1" t="s">
        <v>1208</v>
      </c>
      <c r="B1801" s="1"/>
      <c r="C1801" s="1"/>
      <c r="D1801" s="1"/>
      <c r="E1801" s="1"/>
      <c r="F1801" s="1"/>
      <c r="G1801" s="1"/>
      <c r="H1801" s="1" t="s">
        <v>67</v>
      </c>
      <c r="I1801" s="13">
        <f>I1799+I1800</f>
        <v>0</v>
      </c>
      <c r="J1801" s="1"/>
    </row>
    <row r="1809" spans="1:10" ht="15" x14ac:dyDescent="0.25">
      <c r="A1809" s="3" t="s">
        <v>89</v>
      </c>
      <c r="B1809" s="14"/>
      <c r="C1809" s="14"/>
      <c r="D1809" s="14"/>
      <c r="E1809" s="14"/>
      <c r="F1809" s="14"/>
      <c r="G1809" s="14"/>
      <c r="H1809" s="14"/>
      <c r="I1809" s="7" t="s">
        <v>90</v>
      </c>
    </row>
    <row r="1810" spans="1:10" x14ac:dyDescent="0.2">
      <c r="A1810" s="15" t="s">
        <v>1209</v>
      </c>
      <c r="I1810" s="16">
        <f>I1719</f>
        <v>0</v>
      </c>
    </row>
    <row r="1811" spans="1:10" x14ac:dyDescent="0.2">
      <c r="A1811" s="15" t="s">
        <v>1210</v>
      </c>
      <c r="I1811" s="16">
        <f>I1736</f>
        <v>0</v>
      </c>
    </row>
    <row r="1812" spans="1:10" x14ac:dyDescent="0.2">
      <c r="A1812" s="15" t="s">
        <v>1211</v>
      </c>
      <c r="I1812" s="16">
        <f>I1759</f>
        <v>0</v>
      </c>
    </row>
    <row r="1813" spans="1:10" x14ac:dyDescent="0.2">
      <c r="A1813" s="15" t="s">
        <v>1212</v>
      </c>
      <c r="I1813" s="16">
        <f>I1774</f>
        <v>0</v>
      </c>
    </row>
    <row r="1814" spans="1:10" x14ac:dyDescent="0.2">
      <c r="A1814" s="15" t="s">
        <v>1213</v>
      </c>
      <c r="I1814" s="16">
        <f>I1792</f>
        <v>0</v>
      </c>
    </row>
    <row r="1815" spans="1:10" x14ac:dyDescent="0.2">
      <c r="A1815" s="15" t="s">
        <v>1214</v>
      </c>
      <c r="I1815" s="16">
        <f>I1801</f>
        <v>0</v>
      </c>
    </row>
    <row r="1816" spans="1:10" x14ac:dyDescent="0.2">
      <c r="A1816" s="15"/>
      <c r="I1816" s="15"/>
    </row>
    <row r="1817" spans="1:10" x14ac:dyDescent="0.2">
      <c r="A1817" s="17"/>
      <c r="B1817" s="18"/>
      <c r="C1817" s="18"/>
      <c r="D1817" s="18"/>
      <c r="E1817" s="18"/>
      <c r="F1817" s="18"/>
      <c r="G1817" s="18"/>
      <c r="H1817" s="18"/>
      <c r="I1817" s="17"/>
    </row>
    <row r="1818" spans="1:10" x14ac:dyDescent="0.2">
      <c r="H1818" s="4" t="s">
        <v>95</v>
      </c>
      <c r="I1818" s="13">
        <f>SUM(I1810:I1817)</f>
        <v>0</v>
      </c>
    </row>
    <row r="1822" spans="1:10" ht="15" x14ac:dyDescent="0.25">
      <c r="A1822" s="21" t="s">
        <v>1215</v>
      </c>
      <c r="B1822" s="22"/>
      <c r="C1822" s="22"/>
      <c r="D1822" s="22"/>
      <c r="E1822" s="22"/>
      <c r="F1822" s="22"/>
      <c r="G1822" s="22"/>
      <c r="H1822" s="22"/>
      <c r="I1822" s="22"/>
      <c r="J1822" s="22"/>
    </row>
    <row r="1823" spans="1:10" ht="15" x14ac:dyDescent="0.25">
      <c r="A1823" s="21" t="s">
        <v>1216</v>
      </c>
      <c r="B1823" s="22"/>
      <c r="C1823" s="22"/>
      <c r="D1823" s="22"/>
      <c r="E1823" s="22"/>
      <c r="F1823" s="22"/>
      <c r="G1823" s="22"/>
      <c r="H1823" s="22"/>
      <c r="I1823" s="22"/>
      <c r="J1823" s="22"/>
    </row>
    <row r="1825" spans="1:10" ht="15" x14ac:dyDescent="0.25">
      <c r="A1825" s="3" t="s">
        <v>2</v>
      </c>
      <c r="B1825" s="3" t="s">
        <v>3</v>
      </c>
      <c r="C1825" s="3" t="s">
        <v>4</v>
      </c>
      <c r="D1825" s="3" t="s">
        <v>5</v>
      </c>
      <c r="E1825" s="3" t="s">
        <v>6</v>
      </c>
      <c r="F1825" s="7" t="s">
        <v>7</v>
      </c>
      <c r="G1825" s="3" t="s">
        <v>8</v>
      </c>
      <c r="H1825" s="7" t="s">
        <v>9</v>
      </c>
      <c r="I1825" s="7" t="s">
        <v>10</v>
      </c>
      <c r="J1825" s="3" t="s">
        <v>11</v>
      </c>
    </row>
    <row r="1826" spans="1:10" ht="134.25" x14ac:dyDescent="0.2">
      <c r="A1826" s="2" t="s">
        <v>1217</v>
      </c>
      <c r="B1826" s="9">
        <v>1</v>
      </c>
      <c r="C1826" s="9">
        <v>1</v>
      </c>
      <c r="D1826" s="10" t="s">
        <v>13</v>
      </c>
      <c r="E1826" s="11" t="s">
        <v>1218</v>
      </c>
      <c r="F1826" s="12">
        <v>272</v>
      </c>
      <c r="G1826" s="10" t="s">
        <v>79</v>
      </c>
      <c r="H1826" s="13"/>
      <c r="I1826" s="13"/>
      <c r="J1826" s="10"/>
    </row>
    <row r="1827" spans="1:10" ht="44.25" x14ac:dyDescent="0.2">
      <c r="A1827" s="2" t="s">
        <v>1217</v>
      </c>
      <c r="B1827" s="9">
        <v>1</v>
      </c>
      <c r="C1827" s="9">
        <v>1</v>
      </c>
      <c r="D1827" s="10" t="s">
        <v>16</v>
      </c>
      <c r="E1827" s="11" t="s">
        <v>1219</v>
      </c>
      <c r="F1827" s="12">
        <v>1</v>
      </c>
      <c r="G1827" s="10" t="s">
        <v>15</v>
      </c>
      <c r="H1827" s="13"/>
      <c r="I1827" s="6"/>
      <c r="J1827" s="10"/>
    </row>
    <row r="1828" spans="1:10" x14ac:dyDescent="0.2">
      <c r="A1828" s="2" t="s">
        <v>1217</v>
      </c>
      <c r="B1828" s="9">
        <v>1</v>
      </c>
      <c r="C1828" s="9">
        <v>1</v>
      </c>
      <c r="D1828" s="10" t="s">
        <v>18</v>
      </c>
      <c r="E1828" s="11" t="s">
        <v>1220</v>
      </c>
      <c r="F1828" s="12">
        <v>1</v>
      </c>
      <c r="G1828" s="10" t="s">
        <v>15</v>
      </c>
      <c r="H1828" s="13"/>
      <c r="I1828" s="6"/>
      <c r="J1828" s="10"/>
    </row>
    <row r="1829" spans="1:10" ht="74.25" x14ac:dyDescent="0.2">
      <c r="A1829" s="2" t="s">
        <v>1217</v>
      </c>
      <c r="B1829" s="9">
        <v>1</v>
      </c>
      <c r="C1829" s="9">
        <v>1</v>
      </c>
      <c r="D1829" s="10" t="s">
        <v>20</v>
      </c>
      <c r="E1829" s="11" t="s">
        <v>1221</v>
      </c>
      <c r="F1829" s="12">
        <v>340.99999999999994</v>
      </c>
      <c r="G1829" s="10" t="s">
        <v>109</v>
      </c>
      <c r="H1829" s="13"/>
      <c r="I1829" s="13"/>
      <c r="J1829" s="10"/>
    </row>
    <row r="1830" spans="1:10" ht="74.25" x14ac:dyDescent="0.2">
      <c r="A1830" s="2" t="s">
        <v>1217</v>
      </c>
      <c r="B1830" s="9">
        <v>1</v>
      </c>
      <c r="C1830" s="9">
        <v>1</v>
      </c>
      <c r="D1830" s="10" t="s">
        <v>22</v>
      </c>
      <c r="E1830" s="11" t="s">
        <v>85</v>
      </c>
      <c r="F1830" s="12">
        <v>1</v>
      </c>
      <c r="G1830" s="10" t="s">
        <v>15</v>
      </c>
      <c r="H1830" s="13"/>
      <c r="I1830" s="6"/>
      <c r="J1830" s="10"/>
    </row>
    <row r="1831" spans="1:10" x14ac:dyDescent="0.2">
      <c r="A1831" s="2" t="s">
        <v>1217</v>
      </c>
      <c r="B1831" s="9">
        <v>1</v>
      </c>
      <c r="C1831" s="9">
        <v>1</v>
      </c>
      <c r="D1831" s="10" t="s">
        <v>24</v>
      </c>
      <c r="E1831" s="11" t="s">
        <v>86</v>
      </c>
      <c r="F1831" s="12">
        <v>1</v>
      </c>
      <c r="G1831" s="10" t="s">
        <v>15</v>
      </c>
      <c r="H1831" s="13"/>
      <c r="I1831" s="6"/>
      <c r="J1831" s="10"/>
    </row>
    <row r="1832" spans="1:10" ht="44.25" x14ac:dyDescent="0.2">
      <c r="A1832" s="2" t="s">
        <v>1217</v>
      </c>
      <c r="B1832" s="9">
        <v>1</v>
      </c>
      <c r="C1832" s="9">
        <v>1</v>
      </c>
      <c r="D1832" s="10" t="s">
        <v>27</v>
      </c>
      <c r="E1832" s="11" t="s">
        <v>87</v>
      </c>
      <c r="F1832" s="12">
        <v>272</v>
      </c>
      <c r="G1832" s="10" t="s">
        <v>79</v>
      </c>
      <c r="H1832" s="13"/>
      <c r="I1832" s="13"/>
      <c r="J1832" s="10"/>
    </row>
    <row r="1833" spans="1:10" ht="74.25" x14ac:dyDescent="0.2">
      <c r="A1833" s="2" t="s">
        <v>1217</v>
      </c>
      <c r="B1833" s="9">
        <v>1</v>
      </c>
      <c r="C1833" s="9">
        <v>1</v>
      </c>
      <c r="D1833" s="10" t="s">
        <v>29</v>
      </c>
      <c r="E1833" s="11" t="s">
        <v>1222</v>
      </c>
      <c r="F1833" s="12">
        <v>0</v>
      </c>
      <c r="G1833" s="10" t="s">
        <v>79</v>
      </c>
      <c r="H1833" s="13"/>
      <c r="I1833" s="13"/>
      <c r="J1833" s="10"/>
    </row>
    <row r="1834" spans="1:10" x14ac:dyDescent="0.2">
      <c r="A1834" s="1" t="s">
        <v>1223</v>
      </c>
      <c r="B1834" s="1"/>
      <c r="C1834" s="1"/>
      <c r="D1834" s="1"/>
      <c r="E1834" s="1"/>
      <c r="F1834" s="1"/>
      <c r="G1834" s="1"/>
      <c r="H1834" s="1" t="s">
        <v>67</v>
      </c>
      <c r="I1834" s="13">
        <f>I1826+I1829+I1832+I1833</f>
        <v>0</v>
      </c>
      <c r="J1834" s="1"/>
    </row>
    <row r="1837" spans="1:10" ht="15" x14ac:dyDescent="0.25">
      <c r="A1837" s="21" t="s">
        <v>1224</v>
      </c>
      <c r="B1837" s="22"/>
      <c r="C1837" s="22"/>
      <c r="D1837" s="22"/>
      <c r="E1837" s="22"/>
      <c r="F1837" s="22"/>
      <c r="G1837" s="22"/>
      <c r="H1837" s="22"/>
      <c r="I1837" s="22"/>
      <c r="J1837" s="22"/>
    </row>
    <row r="1838" spans="1:10" ht="15" x14ac:dyDescent="0.25">
      <c r="A1838" s="21" t="s">
        <v>1216</v>
      </c>
      <c r="B1838" s="22"/>
      <c r="C1838" s="22"/>
      <c r="D1838" s="22"/>
      <c r="E1838" s="22"/>
      <c r="F1838" s="22"/>
      <c r="G1838" s="22"/>
      <c r="H1838" s="22"/>
      <c r="I1838" s="22"/>
      <c r="J1838" s="22"/>
    </row>
    <row r="1840" spans="1:10" ht="15" x14ac:dyDescent="0.25">
      <c r="A1840" s="3" t="s">
        <v>2</v>
      </c>
      <c r="B1840" s="3" t="s">
        <v>3</v>
      </c>
      <c r="C1840" s="3" t="s">
        <v>4</v>
      </c>
      <c r="D1840" s="3" t="s">
        <v>5</v>
      </c>
      <c r="E1840" s="3" t="s">
        <v>6</v>
      </c>
      <c r="F1840" s="7" t="s">
        <v>7</v>
      </c>
      <c r="G1840" s="3" t="s">
        <v>8</v>
      </c>
      <c r="H1840" s="7" t="s">
        <v>9</v>
      </c>
      <c r="I1840" s="7" t="s">
        <v>10</v>
      </c>
      <c r="J1840" s="3" t="s">
        <v>11</v>
      </c>
    </row>
    <row r="1841" spans="1:10" ht="74.25" x14ac:dyDescent="0.2">
      <c r="A1841" s="2" t="s">
        <v>1217</v>
      </c>
      <c r="B1841" s="9">
        <v>1</v>
      </c>
      <c r="C1841" s="9">
        <v>2</v>
      </c>
      <c r="D1841" s="10" t="s">
        <v>13</v>
      </c>
      <c r="E1841" s="11" t="s">
        <v>1225</v>
      </c>
      <c r="F1841" s="12">
        <v>632</v>
      </c>
      <c r="G1841" s="10" t="s">
        <v>109</v>
      </c>
      <c r="H1841" s="13"/>
      <c r="I1841" s="13"/>
      <c r="J1841" s="10"/>
    </row>
    <row r="1842" spans="1:10" x14ac:dyDescent="0.2">
      <c r="A1842" s="1" t="s">
        <v>1226</v>
      </c>
      <c r="B1842" s="1"/>
      <c r="C1842" s="1"/>
      <c r="D1842" s="1"/>
      <c r="E1842" s="1"/>
      <c r="F1842" s="1"/>
      <c r="G1842" s="1"/>
      <c r="H1842" s="1" t="s">
        <v>67</v>
      </c>
      <c r="I1842" s="13">
        <f>I1841</f>
        <v>0</v>
      </c>
      <c r="J1842" s="1"/>
    </row>
    <row r="1850" spans="1:10" ht="15" x14ac:dyDescent="0.25">
      <c r="A1850" s="3" t="s">
        <v>89</v>
      </c>
      <c r="B1850" s="14"/>
      <c r="C1850" s="14"/>
      <c r="D1850" s="14"/>
      <c r="E1850" s="14"/>
      <c r="F1850" s="14"/>
      <c r="G1850" s="14"/>
      <c r="H1850" s="14"/>
      <c r="I1850" s="7" t="s">
        <v>90</v>
      </c>
    </row>
    <row r="1851" spans="1:10" x14ac:dyDescent="0.2">
      <c r="A1851" s="15" t="s">
        <v>1227</v>
      </c>
      <c r="I1851" s="16">
        <f>I1834</f>
        <v>0</v>
      </c>
    </row>
    <row r="1852" spans="1:10" x14ac:dyDescent="0.2">
      <c r="A1852" s="15" t="s">
        <v>1228</v>
      </c>
      <c r="I1852" s="16">
        <f>I1842</f>
        <v>0</v>
      </c>
    </row>
    <row r="1853" spans="1:10" x14ac:dyDescent="0.2">
      <c r="A1853" s="15"/>
      <c r="I1853" s="15"/>
    </row>
    <row r="1854" spans="1:10" x14ac:dyDescent="0.2">
      <c r="A1854" s="17"/>
      <c r="B1854" s="18"/>
      <c r="C1854" s="18"/>
      <c r="D1854" s="18"/>
      <c r="E1854" s="18"/>
      <c r="F1854" s="18"/>
      <c r="G1854" s="18"/>
      <c r="H1854" s="18"/>
      <c r="I1854" s="17"/>
    </row>
    <row r="1855" spans="1:10" x14ac:dyDescent="0.2">
      <c r="H1855" s="4" t="s">
        <v>95</v>
      </c>
      <c r="I1855" s="13">
        <f>SUM(I1851:I1854)</f>
        <v>0</v>
      </c>
    </row>
    <row r="1859" spans="1:10" ht="15" x14ac:dyDescent="0.25">
      <c r="A1859" s="21" t="s">
        <v>1229</v>
      </c>
      <c r="B1859" s="22"/>
      <c r="C1859" s="22"/>
      <c r="D1859" s="22"/>
      <c r="E1859" s="22"/>
      <c r="F1859" s="22"/>
      <c r="G1859" s="22"/>
      <c r="H1859" s="22"/>
      <c r="I1859" s="22"/>
      <c r="J1859" s="22"/>
    </row>
    <row r="1860" spans="1:10" ht="15" x14ac:dyDescent="0.25">
      <c r="A1860" s="21" t="s">
        <v>1230</v>
      </c>
      <c r="B1860" s="22"/>
      <c r="C1860" s="22"/>
      <c r="D1860" s="22"/>
      <c r="E1860" s="22"/>
      <c r="F1860" s="22"/>
      <c r="G1860" s="22"/>
      <c r="H1860" s="22"/>
      <c r="I1860" s="22"/>
      <c r="J1860" s="22"/>
    </row>
    <row r="1862" spans="1:10" ht="15" x14ac:dyDescent="0.25">
      <c r="A1862" s="3" t="s">
        <v>2</v>
      </c>
      <c r="B1862" s="3" t="s">
        <v>3</v>
      </c>
      <c r="C1862" s="3" t="s">
        <v>4</v>
      </c>
      <c r="D1862" s="3" t="s">
        <v>5</v>
      </c>
      <c r="E1862" s="3" t="s">
        <v>6</v>
      </c>
      <c r="F1862" s="7" t="s">
        <v>7</v>
      </c>
      <c r="G1862" s="3" t="s">
        <v>8</v>
      </c>
      <c r="H1862" s="7" t="s">
        <v>9</v>
      </c>
      <c r="I1862" s="7" t="s">
        <v>10</v>
      </c>
      <c r="J1862" s="3" t="s">
        <v>11</v>
      </c>
    </row>
    <row r="1863" spans="1:10" ht="134.25" x14ac:dyDescent="0.2">
      <c r="A1863" s="2" t="s">
        <v>1231</v>
      </c>
      <c r="B1863" s="9">
        <v>1</v>
      </c>
      <c r="C1863" s="9">
        <v>1</v>
      </c>
      <c r="D1863" s="10" t="s">
        <v>13</v>
      </c>
      <c r="E1863" s="11" t="s">
        <v>1232</v>
      </c>
      <c r="F1863" s="12">
        <v>6</v>
      </c>
      <c r="G1863" s="10" t="s">
        <v>79</v>
      </c>
      <c r="H1863" s="13"/>
      <c r="I1863" s="13"/>
      <c r="J1863" s="10"/>
    </row>
    <row r="1864" spans="1:10" ht="44.25" x14ac:dyDescent="0.2">
      <c r="A1864" s="2" t="s">
        <v>1231</v>
      </c>
      <c r="B1864" s="9">
        <v>1</v>
      </c>
      <c r="C1864" s="9">
        <v>1</v>
      </c>
      <c r="D1864" s="10" t="s">
        <v>16</v>
      </c>
      <c r="E1864" s="11" t="s">
        <v>1219</v>
      </c>
      <c r="F1864" s="12">
        <v>1</v>
      </c>
      <c r="G1864" s="10" t="s">
        <v>15</v>
      </c>
      <c r="H1864" s="13"/>
      <c r="I1864" s="6"/>
      <c r="J1864" s="10"/>
    </row>
    <row r="1865" spans="1:10" x14ac:dyDescent="0.2">
      <c r="A1865" s="2" t="s">
        <v>1231</v>
      </c>
      <c r="B1865" s="9">
        <v>1</v>
      </c>
      <c r="C1865" s="9">
        <v>1</v>
      </c>
      <c r="D1865" s="10" t="s">
        <v>18</v>
      </c>
      <c r="E1865" s="11" t="s">
        <v>1233</v>
      </c>
      <c r="F1865" s="12">
        <v>1</v>
      </c>
      <c r="G1865" s="10" t="s">
        <v>15</v>
      </c>
      <c r="H1865" s="13"/>
      <c r="I1865" s="6"/>
      <c r="J1865" s="10"/>
    </row>
    <row r="1866" spans="1:10" ht="74.25" x14ac:dyDescent="0.2">
      <c r="A1866" s="2" t="s">
        <v>1231</v>
      </c>
      <c r="B1866" s="9">
        <v>1</v>
      </c>
      <c r="C1866" s="9">
        <v>1</v>
      </c>
      <c r="D1866" s="10" t="s">
        <v>20</v>
      </c>
      <c r="E1866" s="11" t="s">
        <v>1234</v>
      </c>
      <c r="F1866" s="12">
        <v>15</v>
      </c>
      <c r="G1866" s="10" t="s">
        <v>109</v>
      </c>
      <c r="H1866" s="13"/>
      <c r="I1866" s="13"/>
      <c r="J1866" s="10"/>
    </row>
    <row r="1867" spans="1:10" ht="74.25" x14ac:dyDescent="0.2">
      <c r="A1867" s="2" t="s">
        <v>1231</v>
      </c>
      <c r="B1867" s="9">
        <v>1</v>
      </c>
      <c r="C1867" s="9">
        <v>1</v>
      </c>
      <c r="D1867" s="10" t="s">
        <v>22</v>
      </c>
      <c r="E1867" s="11" t="s">
        <v>1235</v>
      </c>
      <c r="F1867" s="12">
        <v>15</v>
      </c>
      <c r="G1867" s="10" t="s">
        <v>109</v>
      </c>
      <c r="H1867" s="13"/>
      <c r="I1867" s="13"/>
      <c r="J1867" s="10"/>
    </row>
    <row r="1868" spans="1:10" ht="74.25" x14ac:dyDescent="0.2">
      <c r="A1868" s="2" t="s">
        <v>1231</v>
      </c>
      <c r="B1868" s="9">
        <v>1</v>
      </c>
      <c r="C1868" s="9">
        <v>1</v>
      </c>
      <c r="D1868" s="10" t="s">
        <v>24</v>
      </c>
      <c r="E1868" s="11" t="s">
        <v>85</v>
      </c>
      <c r="F1868" s="12">
        <v>1</v>
      </c>
      <c r="G1868" s="10" t="s">
        <v>15</v>
      </c>
      <c r="H1868" s="13"/>
      <c r="I1868" s="6"/>
      <c r="J1868" s="10"/>
    </row>
    <row r="1869" spans="1:10" x14ac:dyDescent="0.2">
      <c r="A1869" s="2" t="s">
        <v>1231</v>
      </c>
      <c r="B1869" s="9">
        <v>1</v>
      </c>
      <c r="C1869" s="9">
        <v>1</v>
      </c>
      <c r="D1869" s="10" t="s">
        <v>27</v>
      </c>
      <c r="E1869" s="11" t="s">
        <v>86</v>
      </c>
      <c r="F1869" s="12">
        <v>1</v>
      </c>
      <c r="G1869" s="10" t="s">
        <v>15</v>
      </c>
      <c r="H1869" s="13"/>
      <c r="I1869" s="6"/>
      <c r="J1869" s="10"/>
    </row>
    <row r="1870" spans="1:10" ht="44.25" x14ac:dyDescent="0.2">
      <c r="A1870" s="2" t="s">
        <v>1231</v>
      </c>
      <c r="B1870" s="9">
        <v>1</v>
      </c>
      <c r="C1870" s="9">
        <v>1</v>
      </c>
      <c r="D1870" s="10" t="s">
        <v>29</v>
      </c>
      <c r="E1870" s="11" t="s">
        <v>87</v>
      </c>
      <c r="F1870" s="12">
        <v>6</v>
      </c>
      <c r="G1870" s="10" t="s">
        <v>79</v>
      </c>
      <c r="H1870" s="13"/>
      <c r="I1870" s="13"/>
      <c r="J1870" s="10"/>
    </row>
    <row r="1871" spans="1:10" ht="74.25" x14ac:dyDescent="0.2">
      <c r="A1871" s="2" t="s">
        <v>1231</v>
      </c>
      <c r="B1871" s="9">
        <v>1</v>
      </c>
      <c r="C1871" s="9">
        <v>1</v>
      </c>
      <c r="D1871" s="10" t="s">
        <v>32</v>
      </c>
      <c r="E1871" s="11" t="s">
        <v>1236</v>
      </c>
      <c r="F1871" s="12">
        <v>24</v>
      </c>
      <c r="G1871" s="10" t="s">
        <v>79</v>
      </c>
      <c r="H1871" s="13"/>
      <c r="I1871" s="13"/>
      <c r="J1871" s="10"/>
    </row>
    <row r="1872" spans="1:10" x14ac:dyDescent="0.2">
      <c r="A1872" s="1" t="s">
        <v>1237</v>
      </c>
      <c r="B1872" s="1"/>
      <c r="C1872" s="1"/>
      <c r="D1872" s="1"/>
      <c r="E1872" s="1"/>
      <c r="F1872" s="1"/>
      <c r="G1872" s="1"/>
      <c r="H1872" s="1" t="s">
        <v>67</v>
      </c>
      <c r="I1872" s="13">
        <f>I1863+I1866+I1867+I1870+I1871</f>
        <v>0</v>
      </c>
      <c r="J1872" s="1"/>
    </row>
    <row r="1875" spans="1:10" ht="15" x14ac:dyDescent="0.25">
      <c r="A1875" s="21" t="s">
        <v>1238</v>
      </c>
      <c r="B1875" s="22"/>
      <c r="C1875" s="22"/>
      <c r="D1875" s="22"/>
      <c r="E1875" s="22"/>
      <c r="F1875" s="22"/>
      <c r="G1875" s="22"/>
      <c r="H1875" s="22"/>
      <c r="I1875" s="22"/>
      <c r="J1875" s="22"/>
    </row>
    <row r="1876" spans="1:10" ht="15" x14ac:dyDescent="0.25">
      <c r="A1876" s="21" t="s">
        <v>1230</v>
      </c>
      <c r="B1876" s="22"/>
      <c r="C1876" s="22"/>
      <c r="D1876" s="22"/>
      <c r="E1876" s="22"/>
      <c r="F1876" s="22"/>
      <c r="G1876" s="22"/>
      <c r="H1876" s="22"/>
      <c r="I1876" s="22"/>
      <c r="J1876" s="22"/>
    </row>
    <row r="1878" spans="1:10" ht="15" x14ac:dyDescent="0.25">
      <c r="A1878" s="3" t="s">
        <v>2</v>
      </c>
      <c r="B1878" s="3" t="s">
        <v>3</v>
      </c>
      <c r="C1878" s="3" t="s">
        <v>4</v>
      </c>
      <c r="D1878" s="3" t="s">
        <v>5</v>
      </c>
      <c r="E1878" s="3" t="s">
        <v>6</v>
      </c>
      <c r="F1878" s="7" t="s">
        <v>7</v>
      </c>
      <c r="G1878" s="3" t="s">
        <v>8</v>
      </c>
      <c r="H1878" s="7" t="s">
        <v>9</v>
      </c>
      <c r="I1878" s="7" t="s">
        <v>10</v>
      </c>
      <c r="J1878" s="3" t="s">
        <v>11</v>
      </c>
    </row>
    <row r="1879" spans="1:10" ht="74.25" x14ac:dyDescent="0.2">
      <c r="A1879" s="2" t="s">
        <v>1231</v>
      </c>
      <c r="B1879" s="9">
        <v>1</v>
      </c>
      <c r="C1879" s="9">
        <v>2</v>
      </c>
      <c r="D1879" s="10" t="s">
        <v>13</v>
      </c>
      <c r="E1879" s="11" t="s">
        <v>1239</v>
      </c>
      <c r="F1879" s="12">
        <v>81</v>
      </c>
      <c r="G1879" s="10" t="s">
        <v>79</v>
      </c>
      <c r="H1879" s="13"/>
      <c r="I1879" s="13"/>
      <c r="J1879" s="10"/>
    </row>
    <row r="1880" spans="1:10" ht="74.25" x14ac:dyDescent="0.2">
      <c r="A1880" s="2" t="s">
        <v>1231</v>
      </c>
      <c r="B1880" s="9">
        <v>1</v>
      </c>
      <c r="C1880" s="9">
        <v>2</v>
      </c>
      <c r="D1880" s="10" t="s">
        <v>16</v>
      </c>
      <c r="E1880" s="11" t="s">
        <v>1225</v>
      </c>
      <c r="F1880" s="12">
        <v>265</v>
      </c>
      <c r="G1880" s="10" t="s">
        <v>109</v>
      </c>
      <c r="H1880" s="13"/>
      <c r="I1880" s="13"/>
      <c r="J1880" s="10"/>
    </row>
    <row r="1881" spans="1:10" ht="44.25" x14ac:dyDescent="0.2">
      <c r="A1881" s="2" t="s">
        <v>1231</v>
      </c>
      <c r="B1881" s="9">
        <v>1</v>
      </c>
      <c r="C1881" s="9">
        <v>2</v>
      </c>
      <c r="D1881" s="10" t="s">
        <v>18</v>
      </c>
      <c r="E1881" s="11" t="s">
        <v>1240</v>
      </c>
      <c r="F1881" s="12">
        <v>258</v>
      </c>
      <c r="G1881" s="10" t="s">
        <v>109</v>
      </c>
      <c r="H1881" s="13"/>
      <c r="I1881" s="13"/>
      <c r="J1881" s="10"/>
    </row>
    <row r="1882" spans="1:10" ht="134.25" x14ac:dyDescent="0.2">
      <c r="A1882" s="2" t="s">
        <v>1231</v>
      </c>
      <c r="B1882" s="9">
        <v>1</v>
      </c>
      <c r="C1882" s="9">
        <v>2</v>
      </c>
      <c r="D1882" s="10" t="s">
        <v>20</v>
      </c>
      <c r="E1882" s="11" t="s">
        <v>1241</v>
      </c>
      <c r="F1882" s="12">
        <v>1</v>
      </c>
      <c r="G1882" s="10" t="s">
        <v>79</v>
      </c>
      <c r="H1882" s="13"/>
      <c r="I1882" s="13"/>
      <c r="J1882" s="10"/>
    </row>
    <row r="1883" spans="1:10" ht="89.25" x14ac:dyDescent="0.2">
      <c r="A1883" s="2" t="s">
        <v>1231</v>
      </c>
      <c r="B1883" s="9">
        <v>1</v>
      </c>
      <c r="C1883" s="9">
        <v>2</v>
      </c>
      <c r="D1883" s="10" t="s">
        <v>22</v>
      </c>
      <c r="E1883" s="11" t="s">
        <v>1242</v>
      </c>
      <c r="F1883" s="12">
        <v>5</v>
      </c>
      <c r="G1883" s="10" t="s">
        <v>79</v>
      </c>
      <c r="H1883" s="13"/>
      <c r="I1883" s="13"/>
      <c r="J1883" s="10"/>
    </row>
    <row r="1884" spans="1:10" ht="104.25" x14ac:dyDescent="0.2">
      <c r="A1884" s="2" t="s">
        <v>1231</v>
      </c>
      <c r="B1884" s="9">
        <v>1</v>
      </c>
      <c r="C1884" s="9">
        <v>2</v>
      </c>
      <c r="D1884" s="10" t="s">
        <v>24</v>
      </c>
      <c r="E1884" s="11" t="s">
        <v>1243</v>
      </c>
      <c r="F1884" s="12">
        <v>19</v>
      </c>
      <c r="G1884" s="10" t="s">
        <v>83</v>
      </c>
      <c r="H1884" s="13"/>
      <c r="I1884" s="13"/>
      <c r="J1884" s="10"/>
    </row>
    <row r="1885" spans="1:10" x14ac:dyDescent="0.2">
      <c r="A1885" s="1" t="s">
        <v>1244</v>
      </c>
      <c r="B1885" s="1"/>
      <c r="C1885" s="1"/>
      <c r="D1885" s="1"/>
      <c r="E1885" s="1"/>
      <c r="F1885" s="1"/>
      <c r="G1885" s="1"/>
      <c r="H1885" s="1" t="s">
        <v>67</v>
      </c>
      <c r="I1885" s="13">
        <f>I1879+I1880+I1881+I1882+I1883+I1884</f>
        <v>0</v>
      </c>
      <c r="J1885" s="1"/>
    </row>
    <row r="1888" spans="1:10" ht="15" x14ac:dyDescent="0.25">
      <c r="A1888" s="21" t="s">
        <v>1245</v>
      </c>
      <c r="B1888" s="22"/>
      <c r="C1888" s="22"/>
      <c r="D1888" s="22"/>
      <c r="E1888" s="22"/>
      <c r="F1888" s="22"/>
      <c r="G1888" s="22"/>
      <c r="H1888" s="22"/>
      <c r="I1888" s="22"/>
      <c r="J1888" s="22"/>
    </row>
    <row r="1889" spans="1:10" ht="15" x14ac:dyDescent="0.25">
      <c r="A1889" s="21" t="s">
        <v>1230</v>
      </c>
      <c r="B1889" s="22"/>
      <c r="C1889" s="22"/>
      <c r="D1889" s="22"/>
      <c r="E1889" s="22"/>
      <c r="F1889" s="22"/>
      <c r="G1889" s="22"/>
      <c r="H1889" s="22"/>
      <c r="I1889" s="22"/>
      <c r="J1889" s="22"/>
    </row>
    <row r="1891" spans="1:10" ht="15" x14ac:dyDescent="0.25">
      <c r="A1891" s="3" t="s">
        <v>2</v>
      </c>
      <c r="B1891" s="3" t="s">
        <v>3</v>
      </c>
      <c r="C1891" s="3" t="s">
        <v>4</v>
      </c>
      <c r="D1891" s="3" t="s">
        <v>5</v>
      </c>
      <c r="E1891" s="3" t="s">
        <v>6</v>
      </c>
      <c r="F1891" s="7" t="s">
        <v>7</v>
      </c>
      <c r="G1891" s="3" t="s">
        <v>8</v>
      </c>
      <c r="H1891" s="7" t="s">
        <v>9</v>
      </c>
      <c r="I1891" s="7" t="s">
        <v>10</v>
      </c>
      <c r="J1891" s="3" t="s">
        <v>11</v>
      </c>
    </row>
    <row r="1892" spans="1:10" ht="104.25" x14ac:dyDescent="0.2">
      <c r="A1892" s="2" t="s">
        <v>1231</v>
      </c>
      <c r="B1892" s="9">
        <v>1</v>
      </c>
      <c r="C1892" s="9">
        <v>3</v>
      </c>
      <c r="D1892" s="10" t="s">
        <v>13</v>
      </c>
      <c r="E1892" s="11" t="s">
        <v>1246</v>
      </c>
      <c r="F1892" s="12">
        <v>0.81</v>
      </c>
      <c r="G1892" s="10" t="s">
        <v>169</v>
      </c>
      <c r="H1892" s="13"/>
      <c r="I1892" s="13"/>
      <c r="J1892" s="10"/>
    </row>
    <row r="1893" spans="1:10" ht="194.25" x14ac:dyDescent="0.2">
      <c r="A1893" s="2" t="s">
        <v>1231</v>
      </c>
      <c r="B1893" s="9">
        <v>1</v>
      </c>
      <c r="C1893" s="9">
        <v>3</v>
      </c>
      <c r="D1893" s="10" t="s">
        <v>16</v>
      </c>
      <c r="E1893" s="11" t="s">
        <v>1247</v>
      </c>
      <c r="F1893" s="12">
        <v>37</v>
      </c>
      <c r="G1893" s="10" t="s">
        <v>83</v>
      </c>
      <c r="H1893" s="13"/>
      <c r="I1893" s="13"/>
      <c r="J1893" s="10"/>
    </row>
    <row r="1894" spans="1:10" x14ac:dyDescent="0.2">
      <c r="A1894" s="2" t="s">
        <v>1231</v>
      </c>
      <c r="B1894" s="9">
        <v>1</v>
      </c>
      <c r="C1894" s="9">
        <v>3</v>
      </c>
      <c r="D1894" s="10" t="s">
        <v>18</v>
      </c>
      <c r="E1894" s="11" t="s">
        <v>1248</v>
      </c>
      <c r="F1894" s="12">
        <v>18</v>
      </c>
      <c r="G1894" s="10" t="s">
        <v>31</v>
      </c>
      <c r="H1894" s="13"/>
      <c r="I1894" s="13"/>
      <c r="J1894" s="10"/>
    </row>
    <row r="1895" spans="1:10" ht="44.25" x14ac:dyDescent="0.2">
      <c r="A1895" s="2" t="s">
        <v>1231</v>
      </c>
      <c r="B1895" s="9">
        <v>1</v>
      </c>
      <c r="C1895" s="9">
        <v>3</v>
      </c>
      <c r="D1895" s="10" t="s">
        <v>20</v>
      </c>
      <c r="E1895" s="11" t="s">
        <v>1249</v>
      </c>
      <c r="F1895" s="12">
        <v>67</v>
      </c>
      <c r="G1895" s="10" t="s">
        <v>83</v>
      </c>
      <c r="H1895" s="13"/>
      <c r="I1895" s="13"/>
      <c r="J1895" s="10"/>
    </row>
    <row r="1896" spans="1:10" ht="104.25" x14ac:dyDescent="0.2">
      <c r="A1896" s="2" t="s">
        <v>1231</v>
      </c>
      <c r="B1896" s="9">
        <v>1</v>
      </c>
      <c r="C1896" s="9">
        <v>3</v>
      </c>
      <c r="D1896" s="10" t="s">
        <v>22</v>
      </c>
      <c r="E1896" s="11" t="s">
        <v>1250</v>
      </c>
      <c r="F1896" s="12">
        <v>1</v>
      </c>
      <c r="G1896" s="10" t="s">
        <v>79</v>
      </c>
      <c r="H1896" s="13"/>
      <c r="I1896" s="13"/>
      <c r="J1896" s="10"/>
    </row>
    <row r="1897" spans="1:10" x14ac:dyDescent="0.2">
      <c r="A1897" s="2" t="s">
        <v>1231</v>
      </c>
      <c r="B1897" s="9">
        <v>1</v>
      </c>
      <c r="C1897" s="9">
        <v>3</v>
      </c>
      <c r="D1897" s="10" t="s">
        <v>24</v>
      </c>
      <c r="E1897" s="11" t="s">
        <v>1251</v>
      </c>
      <c r="F1897" s="12">
        <v>80</v>
      </c>
      <c r="G1897" s="10" t="s">
        <v>79</v>
      </c>
      <c r="H1897" s="13"/>
      <c r="I1897" s="13"/>
      <c r="J1897" s="10"/>
    </row>
    <row r="1898" spans="1:10" x14ac:dyDescent="0.2">
      <c r="A1898" s="1" t="s">
        <v>1252</v>
      </c>
      <c r="B1898" s="1"/>
      <c r="C1898" s="1"/>
      <c r="D1898" s="1"/>
      <c r="E1898" s="1"/>
      <c r="F1898" s="1"/>
      <c r="G1898" s="1"/>
      <c r="H1898" s="1" t="s">
        <v>67</v>
      </c>
      <c r="I1898" s="13">
        <f>I1892+I1893+I1894+I1895+I1896+I1897</f>
        <v>0</v>
      </c>
      <c r="J1898" s="1"/>
    </row>
    <row r="1901" spans="1:10" ht="15" x14ac:dyDescent="0.25">
      <c r="A1901" s="21" t="s">
        <v>1253</v>
      </c>
      <c r="B1901" s="22"/>
      <c r="C1901" s="22"/>
      <c r="D1901" s="22"/>
      <c r="E1901" s="22"/>
      <c r="F1901" s="22"/>
      <c r="G1901" s="22"/>
      <c r="H1901" s="22"/>
      <c r="I1901" s="22"/>
      <c r="J1901" s="22"/>
    </row>
    <row r="1902" spans="1:10" ht="15" x14ac:dyDescent="0.25">
      <c r="A1902" s="21" t="s">
        <v>1230</v>
      </c>
      <c r="B1902" s="22"/>
      <c r="C1902" s="22"/>
      <c r="D1902" s="22"/>
      <c r="E1902" s="22"/>
      <c r="F1902" s="22"/>
      <c r="G1902" s="22"/>
      <c r="H1902" s="22"/>
      <c r="I1902" s="22"/>
      <c r="J1902" s="22"/>
    </row>
    <row r="1904" spans="1:10" ht="15" x14ac:dyDescent="0.25">
      <c r="A1904" s="3" t="s">
        <v>2</v>
      </c>
      <c r="B1904" s="3" t="s">
        <v>3</v>
      </c>
      <c r="C1904" s="3" t="s">
        <v>4</v>
      </c>
      <c r="D1904" s="3" t="s">
        <v>5</v>
      </c>
      <c r="E1904" s="3" t="s">
        <v>6</v>
      </c>
      <c r="F1904" s="7" t="s">
        <v>7</v>
      </c>
      <c r="G1904" s="3" t="s">
        <v>8</v>
      </c>
      <c r="H1904" s="7" t="s">
        <v>9</v>
      </c>
      <c r="I1904" s="7" t="s">
        <v>10</v>
      </c>
      <c r="J1904" s="3" t="s">
        <v>11</v>
      </c>
    </row>
    <row r="1905" spans="1:10" ht="74.25" x14ac:dyDescent="0.2">
      <c r="A1905" s="2" t="s">
        <v>1231</v>
      </c>
      <c r="B1905" s="9">
        <v>1</v>
      </c>
      <c r="C1905" s="9">
        <v>4</v>
      </c>
      <c r="D1905" s="10" t="s">
        <v>13</v>
      </c>
      <c r="E1905" s="11" t="s">
        <v>1254</v>
      </c>
      <c r="F1905" s="12">
        <v>27</v>
      </c>
      <c r="G1905" s="10" t="s">
        <v>109</v>
      </c>
      <c r="H1905" s="13"/>
      <c r="I1905" s="13"/>
      <c r="J1905" s="10"/>
    </row>
    <row r="1906" spans="1:10" x14ac:dyDescent="0.2">
      <c r="A1906" s="2" t="s">
        <v>1231</v>
      </c>
      <c r="B1906" s="9">
        <v>1</v>
      </c>
      <c r="C1906" s="9">
        <v>4</v>
      </c>
      <c r="D1906" s="10" t="s">
        <v>16</v>
      </c>
      <c r="E1906" s="11" t="s">
        <v>1255</v>
      </c>
      <c r="F1906" s="12">
        <v>388</v>
      </c>
      <c r="G1906" s="10" t="s">
        <v>109</v>
      </c>
      <c r="H1906" s="13"/>
      <c r="I1906" s="13"/>
      <c r="J1906" s="10"/>
    </row>
    <row r="1907" spans="1:10" x14ac:dyDescent="0.2">
      <c r="A1907" s="2" t="s">
        <v>1231</v>
      </c>
      <c r="B1907" s="9">
        <v>1</v>
      </c>
      <c r="C1907" s="9">
        <v>4</v>
      </c>
      <c r="D1907" s="10" t="s">
        <v>18</v>
      </c>
      <c r="E1907" s="11" t="s">
        <v>1256</v>
      </c>
      <c r="F1907" s="12">
        <v>388</v>
      </c>
      <c r="G1907" s="10" t="s">
        <v>109</v>
      </c>
      <c r="H1907" s="13"/>
      <c r="I1907" s="13"/>
      <c r="J1907" s="10"/>
    </row>
    <row r="1908" spans="1:10" ht="44.25" x14ac:dyDescent="0.2">
      <c r="A1908" s="2" t="s">
        <v>1231</v>
      </c>
      <c r="B1908" s="9">
        <v>1</v>
      </c>
      <c r="C1908" s="9">
        <v>4</v>
      </c>
      <c r="D1908" s="10" t="s">
        <v>20</v>
      </c>
      <c r="E1908" s="11" t="s">
        <v>1257</v>
      </c>
      <c r="F1908" s="12">
        <v>140</v>
      </c>
      <c r="G1908" s="10" t="s">
        <v>109</v>
      </c>
      <c r="H1908" s="13"/>
      <c r="I1908" s="13"/>
      <c r="J1908" s="10"/>
    </row>
    <row r="1909" spans="1:10" ht="164.25" x14ac:dyDescent="0.2">
      <c r="A1909" s="2" t="s">
        <v>1231</v>
      </c>
      <c r="B1909" s="9">
        <v>1</v>
      </c>
      <c r="C1909" s="9">
        <v>4</v>
      </c>
      <c r="D1909" s="10" t="s">
        <v>22</v>
      </c>
      <c r="E1909" s="11" t="s">
        <v>1258</v>
      </c>
      <c r="F1909" s="12">
        <v>220.00000000000003</v>
      </c>
      <c r="G1909" s="10" t="s">
        <v>109</v>
      </c>
      <c r="H1909" s="13"/>
      <c r="I1909" s="13"/>
      <c r="J1909" s="10"/>
    </row>
    <row r="1910" spans="1:10" ht="44.25" x14ac:dyDescent="0.2">
      <c r="A1910" s="2" t="s">
        <v>1231</v>
      </c>
      <c r="B1910" s="9">
        <v>1</v>
      </c>
      <c r="C1910" s="9">
        <v>4</v>
      </c>
      <c r="D1910" s="10" t="s">
        <v>24</v>
      </c>
      <c r="E1910" s="11" t="s">
        <v>1259</v>
      </c>
      <c r="F1910" s="12">
        <v>1</v>
      </c>
      <c r="G1910" s="10" t="s">
        <v>109</v>
      </c>
      <c r="H1910" s="13"/>
      <c r="I1910" s="13"/>
      <c r="J1910" s="10"/>
    </row>
    <row r="1911" spans="1:10" ht="44.25" x14ac:dyDescent="0.2">
      <c r="A1911" s="2" t="s">
        <v>1231</v>
      </c>
      <c r="B1911" s="9">
        <v>1</v>
      </c>
      <c r="C1911" s="9">
        <v>4</v>
      </c>
      <c r="D1911" s="10" t="s">
        <v>27</v>
      </c>
      <c r="E1911" s="11" t="s">
        <v>1260</v>
      </c>
      <c r="F1911" s="12">
        <v>38</v>
      </c>
      <c r="G1911" s="10" t="s">
        <v>83</v>
      </c>
      <c r="H1911" s="13"/>
      <c r="I1911" s="13"/>
      <c r="J1911" s="10"/>
    </row>
    <row r="1912" spans="1:10" ht="89.25" x14ac:dyDescent="0.2">
      <c r="A1912" s="2" t="s">
        <v>1231</v>
      </c>
      <c r="B1912" s="9">
        <v>1</v>
      </c>
      <c r="C1912" s="9">
        <v>4</v>
      </c>
      <c r="D1912" s="10" t="s">
        <v>29</v>
      </c>
      <c r="E1912" s="11" t="s">
        <v>1261</v>
      </c>
      <c r="F1912" s="12">
        <v>140</v>
      </c>
      <c r="G1912" s="10" t="s">
        <v>109</v>
      </c>
      <c r="H1912" s="13"/>
      <c r="I1912" s="13"/>
      <c r="J1912" s="10"/>
    </row>
    <row r="1913" spans="1:10" x14ac:dyDescent="0.2">
      <c r="A1913" s="1" t="s">
        <v>1262</v>
      </c>
      <c r="B1913" s="1"/>
      <c r="C1913" s="1"/>
      <c r="D1913" s="1"/>
      <c r="E1913" s="1"/>
      <c r="F1913" s="1"/>
      <c r="G1913" s="1"/>
      <c r="H1913" s="1" t="s">
        <v>67</v>
      </c>
      <c r="I1913" s="13">
        <f>I1905+I1906+I1907+I1908+I1909+I1910+I1911+I1912</f>
        <v>0</v>
      </c>
      <c r="J1913" s="1"/>
    </row>
    <row r="1916" spans="1:10" ht="15" x14ac:dyDescent="0.25">
      <c r="A1916" s="21" t="s">
        <v>1263</v>
      </c>
      <c r="B1916" s="22"/>
      <c r="C1916" s="22"/>
      <c r="D1916" s="22"/>
      <c r="E1916" s="22"/>
      <c r="F1916" s="22"/>
      <c r="G1916" s="22"/>
      <c r="H1916" s="22"/>
      <c r="I1916" s="22"/>
      <c r="J1916" s="22"/>
    </row>
    <row r="1917" spans="1:10" ht="15" x14ac:dyDescent="0.25">
      <c r="A1917" s="21" t="s">
        <v>1230</v>
      </c>
      <c r="B1917" s="22"/>
      <c r="C1917" s="22"/>
      <c r="D1917" s="22"/>
      <c r="E1917" s="22"/>
      <c r="F1917" s="22"/>
      <c r="G1917" s="22"/>
      <c r="H1917" s="22"/>
      <c r="I1917" s="22"/>
      <c r="J1917" s="22"/>
    </row>
    <row r="1919" spans="1:10" ht="15" x14ac:dyDescent="0.25">
      <c r="A1919" s="3" t="s">
        <v>2</v>
      </c>
      <c r="B1919" s="3" t="s">
        <v>3</v>
      </c>
      <c r="C1919" s="3" t="s">
        <v>4</v>
      </c>
      <c r="D1919" s="3" t="s">
        <v>5</v>
      </c>
      <c r="E1919" s="3" t="s">
        <v>6</v>
      </c>
      <c r="F1919" s="7" t="s">
        <v>7</v>
      </c>
      <c r="G1919" s="3" t="s">
        <v>8</v>
      </c>
      <c r="H1919" s="7" t="s">
        <v>9</v>
      </c>
      <c r="I1919" s="7" t="s">
        <v>10</v>
      </c>
      <c r="J1919" s="3" t="s">
        <v>11</v>
      </c>
    </row>
    <row r="1920" spans="1:10" ht="149.25" x14ac:dyDescent="0.2">
      <c r="A1920" s="2" t="s">
        <v>1231</v>
      </c>
      <c r="B1920" s="9">
        <v>1</v>
      </c>
      <c r="C1920" s="9">
        <v>5</v>
      </c>
      <c r="D1920" s="10" t="s">
        <v>13</v>
      </c>
      <c r="E1920" s="11" t="s">
        <v>1264</v>
      </c>
      <c r="F1920" s="12">
        <v>140</v>
      </c>
      <c r="G1920" s="10" t="s">
        <v>109</v>
      </c>
      <c r="H1920" s="13"/>
      <c r="I1920" s="13"/>
      <c r="J1920" s="10"/>
    </row>
    <row r="1921" spans="1:10" ht="89.25" x14ac:dyDescent="0.2">
      <c r="A1921" s="2" t="s">
        <v>1231</v>
      </c>
      <c r="B1921" s="9">
        <v>1</v>
      </c>
      <c r="C1921" s="9">
        <v>5</v>
      </c>
      <c r="D1921" s="10" t="s">
        <v>16</v>
      </c>
      <c r="E1921" s="11" t="s">
        <v>1265</v>
      </c>
      <c r="F1921" s="12">
        <v>27</v>
      </c>
      <c r="G1921" s="10" t="s">
        <v>109</v>
      </c>
      <c r="H1921" s="13"/>
      <c r="I1921" s="13"/>
      <c r="J1921" s="10"/>
    </row>
    <row r="1922" spans="1:10" ht="119.25" x14ac:dyDescent="0.2">
      <c r="A1922" s="2" t="s">
        <v>1231</v>
      </c>
      <c r="B1922" s="9">
        <v>1</v>
      </c>
      <c r="C1922" s="9">
        <v>5</v>
      </c>
      <c r="D1922" s="10" t="s">
        <v>18</v>
      </c>
      <c r="E1922" s="11" t="s">
        <v>1266</v>
      </c>
      <c r="F1922" s="12">
        <v>105</v>
      </c>
      <c r="G1922" s="10" t="s">
        <v>109</v>
      </c>
      <c r="H1922" s="13"/>
      <c r="I1922" s="6"/>
      <c r="J1922" s="10"/>
    </row>
    <row r="1923" spans="1:10" ht="44.25" x14ac:dyDescent="0.2">
      <c r="A1923" s="2" t="s">
        <v>1231</v>
      </c>
      <c r="B1923" s="9">
        <v>1</v>
      </c>
      <c r="C1923" s="9">
        <v>5</v>
      </c>
      <c r="D1923" s="10" t="s">
        <v>20</v>
      </c>
      <c r="E1923" s="11" t="s">
        <v>1267</v>
      </c>
      <c r="F1923" s="12">
        <v>8</v>
      </c>
      <c r="G1923" s="10" t="s">
        <v>31</v>
      </c>
      <c r="H1923" s="13"/>
      <c r="I1923" s="6"/>
      <c r="J1923" s="10"/>
    </row>
    <row r="1924" spans="1:10" ht="104.25" x14ac:dyDescent="0.2">
      <c r="A1924" s="2" t="s">
        <v>1231</v>
      </c>
      <c r="B1924" s="9">
        <v>1</v>
      </c>
      <c r="C1924" s="9">
        <v>5</v>
      </c>
      <c r="D1924" s="10" t="s">
        <v>22</v>
      </c>
      <c r="E1924" s="11" t="s">
        <v>1268</v>
      </c>
      <c r="F1924" s="12">
        <v>95</v>
      </c>
      <c r="G1924" s="10" t="s">
        <v>109</v>
      </c>
      <c r="H1924" s="13"/>
      <c r="I1924" s="13"/>
      <c r="J1924" s="10"/>
    </row>
    <row r="1925" spans="1:10" x14ac:dyDescent="0.2">
      <c r="A1925" s="1" t="s">
        <v>1269</v>
      </c>
      <c r="B1925" s="1"/>
      <c r="C1925" s="1"/>
      <c r="D1925" s="1"/>
      <c r="E1925" s="1"/>
      <c r="F1925" s="1"/>
      <c r="G1925" s="1"/>
      <c r="H1925" s="1" t="s">
        <v>67</v>
      </c>
      <c r="I1925" s="13">
        <f>I1920+I1921+I1924</f>
        <v>0</v>
      </c>
      <c r="J1925" s="1"/>
    </row>
    <row r="1928" spans="1:10" ht="15" x14ac:dyDescent="0.25">
      <c r="A1928" s="21" t="s">
        <v>1270</v>
      </c>
      <c r="B1928" s="22"/>
      <c r="C1928" s="22"/>
      <c r="D1928" s="22"/>
      <c r="E1928" s="22"/>
      <c r="F1928" s="22"/>
      <c r="G1928" s="22"/>
      <c r="H1928" s="22"/>
      <c r="I1928" s="22"/>
      <c r="J1928" s="22"/>
    </row>
    <row r="1929" spans="1:10" ht="15" x14ac:dyDescent="0.25">
      <c r="A1929" s="21" t="s">
        <v>1230</v>
      </c>
      <c r="B1929" s="22"/>
      <c r="C1929" s="22"/>
      <c r="D1929" s="22"/>
      <c r="E1929" s="22"/>
      <c r="F1929" s="22"/>
      <c r="G1929" s="22"/>
      <c r="H1929" s="22"/>
      <c r="I1929" s="22"/>
      <c r="J1929" s="22"/>
    </row>
    <row r="1931" spans="1:10" ht="15" x14ac:dyDescent="0.25">
      <c r="A1931" s="3" t="s">
        <v>2</v>
      </c>
      <c r="B1931" s="3" t="s">
        <v>3</v>
      </c>
      <c r="C1931" s="3" t="s">
        <v>4</v>
      </c>
      <c r="D1931" s="3" t="s">
        <v>5</v>
      </c>
      <c r="E1931" s="3" t="s">
        <v>6</v>
      </c>
      <c r="F1931" s="7" t="s">
        <v>7</v>
      </c>
      <c r="G1931" s="3" t="s">
        <v>8</v>
      </c>
      <c r="H1931" s="7" t="s">
        <v>9</v>
      </c>
      <c r="I1931" s="7" t="s">
        <v>10</v>
      </c>
      <c r="J1931" s="3" t="s">
        <v>11</v>
      </c>
    </row>
    <row r="1932" spans="1:10" ht="74.25" x14ac:dyDescent="0.2">
      <c r="A1932" s="2" t="s">
        <v>1231</v>
      </c>
      <c r="B1932" s="9">
        <v>1</v>
      </c>
      <c r="C1932" s="9">
        <v>6</v>
      </c>
      <c r="D1932" s="10" t="s">
        <v>13</v>
      </c>
      <c r="E1932" s="11" t="s">
        <v>1271</v>
      </c>
      <c r="F1932" s="12">
        <v>95</v>
      </c>
      <c r="G1932" s="10" t="s">
        <v>109</v>
      </c>
      <c r="H1932" s="13"/>
      <c r="I1932" s="6"/>
      <c r="J1932" s="10"/>
    </row>
    <row r="1933" spans="1:10" ht="74.25" x14ac:dyDescent="0.2">
      <c r="A1933" s="2" t="s">
        <v>1231</v>
      </c>
      <c r="B1933" s="9">
        <v>1</v>
      </c>
      <c r="C1933" s="9">
        <v>6</v>
      </c>
      <c r="D1933" s="10" t="s">
        <v>16</v>
      </c>
      <c r="E1933" s="11" t="s">
        <v>1272</v>
      </c>
      <c r="F1933" s="12">
        <v>95</v>
      </c>
      <c r="G1933" s="10" t="s">
        <v>109</v>
      </c>
      <c r="H1933" s="13"/>
      <c r="I1933" s="13"/>
      <c r="J1933" s="10"/>
    </row>
    <row r="1934" spans="1:10" ht="74.25" x14ac:dyDescent="0.2">
      <c r="A1934" s="2" t="s">
        <v>1231</v>
      </c>
      <c r="B1934" s="9">
        <v>1</v>
      </c>
      <c r="C1934" s="9">
        <v>6</v>
      </c>
      <c r="D1934" s="10" t="s">
        <v>18</v>
      </c>
      <c r="E1934" s="11" t="s">
        <v>1273</v>
      </c>
      <c r="F1934" s="12">
        <v>1</v>
      </c>
      <c r="G1934" s="10" t="s">
        <v>15</v>
      </c>
      <c r="H1934" s="13"/>
      <c r="I1934" s="6"/>
      <c r="J1934" s="10"/>
    </row>
    <row r="1935" spans="1:10" ht="104.25" x14ac:dyDescent="0.2">
      <c r="A1935" s="2" t="s">
        <v>1231</v>
      </c>
      <c r="B1935" s="9">
        <v>1</v>
      </c>
      <c r="C1935" s="9">
        <v>6</v>
      </c>
      <c r="D1935" s="10" t="s">
        <v>20</v>
      </c>
      <c r="E1935" s="11" t="s">
        <v>1274</v>
      </c>
      <c r="F1935" s="12">
        <v>149</v>
      </c>
      <c r="G1935" s="10" t="s">
        <v>109</v>
      </c>
      <c r="H1935" s="13"/>
      <c r="I1935" s="6"/>
      <c r="J1935" s="10"/>
    </row>
    <row r="1936" spans="1:10" ht="44.25" x14ac:dyDescent="0.2">
      <c r="A1936" s="2" t="s">
        <v>1231</v>
      </c>
      <c r="B1936" s="9">
        <v>1</v>
      </c>
      <c r="C1936" s="9">
        <v>6</v>
      </c>
      <c r="D1936" s="10" t="s">
        <v>22</v>
      </c>
      <c r="E1936" s="11" t="s">
        <v>1275</v>
      </c>
      <c r="F1936" s="12">
        <v>14.000000000000002</v>
      </c>
      <c r="G1936" s="10" t="s">
        <v>109</v>
      </c>
      <c r="H1936" s="13"/>
      <c r="I1936" s="13"/>
      <c r="J1936" s="10"/>
    </row>
    <row r="1937" spans="1:10" ht="74.25" x14ac:dyDescent="0.2">
      <c r="A1937" s="2" t="s">
        <v>1231</v>
      </c>
      <c r="B1937" s="9">
        <v>1</v>
      </c>
      <c r="C1937" s="9">
        <v>6</v>
      </c>
      <c r="D1937" s="10" t="s">
        <v>24</v>
      </c>
      <c r="E1937" s="11" t="s">
        <v>1271</v>
      </c>
      <c r="F1937" s="12">
        <v>163</v>
      </c>
      <c r="G1937" s="10" t="s">
        <v>109</v>
      </c>
      <c r="H1937" s="13"/>
      <c r="I1937" s="13"/>
      <c r="J1937" s="10"/>
    </row>
    <row r="1938" spans="1:10" ht="74.25" x14ac:dyDescent="0.2">
      <c r="A1938" s="2" t="s">
        <v>1231</v>
      </c>
      <c r="B1938" s="9">
        <v>1</v>
      </c>
      <c r="C1938" s="9">
        <v>6</v>
      </c>
      <c r="D1938" s="10" t="s">
        <v>27</v>
      </c>
      <c r="E1938" s="11" t="s">
        <v>1276</v>
      </c>
      <c r="F1938" s="12">
        <v>126</v>
      </c>
      <c r="G1938" s="10" t="s">
        <v>109</v>
      </c>
      <c r="H1938" s="13"/>
      <c r="I1938" s="13"/>
      <c r="J1938" s="10"/>
    </row>
    <row r="1939" spans="1:10" ht="44.25" x14ac:dyDescent="0.2">
      <c r="A1939" s="2" t="s">
        <v>1231</v>
      </c>
      <c r="B1939" s="9">
        <v>1</v>
      </c>
      <c r="C1939" s="9">
        <v>6</v>
      </c>
      <c r="D1939" s="10" t="s">
        <v>29</v>
      </c>
      <c r="E1939" s="11" t="s">
        <v>1277</v>
      </c>
      <c r="F1939" s="12">
        <v>23</v>
      </c>
      <c r="G1939" s="10" t="s">
        <v>109</v>
      </c>
      <c r="H1939" s="13"/>
      <c r="I1939" s="6"/>
      <c r="J1939" s="10"/>
    </row>
    <row r="1940" spans="1:10" x14ac:dyDescent="0.2">
      <c r="A1940" s="1" t="s">
        <v>1278</v>
      </c>
      <c r="B1940" s="1"/>
      <c r="C1940" s="1"/>
      <c r="D1940" s="1"/>
      <c r="E1940" s="1"/>
      <c r="F1940" s="1"/>
      <c r="G1940" s="1"/>
      <c r="H1940" s="1" t="s">
        <v>67</v>
      </c>
      <c r="I1940" s="13">
        <f>I1933+I1936+I1937+I1938</f>
        <v>0</v>
      </c>
      <c r="J1940" s="1"/>
    </row>
    <row r="1943" spans="1:10" ht="15" x14ac:dyDescent="0.25">
      <c r="A1943" s="21" t="s">
        <v>1279</v>
      </c>
      <c r="B1943" s="22"/>
      <c r="C1943" s="22"/>
      <c r="D1943" s="22"/>
      <c r="E1943" s="22"/>
      <c r="F1943" s="22"/>
      <c r="G1943" s="22"/>
      <c r="H1943" s="22"/>
      <c r="I1943" s="22"/>
      <c r="J1943" s="22"/>
    </row>
    <row r="1944" spans="1:10" ht="15" x14ac:dyDescent="0.25">
      <c r="A1944" s="21" t="s">
        <v>1230</v>
      </c>
      <c r="B1944" s="22"/>
      <c r="C1944" s="22"/>
      <c r="D1944" s="22"/>
      <c r="E1944" s="22"/>
      <c r="F1944" s="22"/>
      <c r="G1944" s="22"/>
      <c r="H1944" s="22"/>
      <c r="I1944" s="22"/>
      <c r="J1944" s="22"/>
    </row>
    <row r="1946" spans="1:10" ht="15" x14ac:dyDescent="0.25">
      <c r="A1946" s="3" t="s">
        <v>2</v>
      </c>
      <c r="B1946" s="3" t="s">
        <v>3</v>
      </c>
      <c r="C1946" s="3" t="s">
        <v>4</v>
      </c>
      <c r="D1946" s="3" t="s">
        <v>5</v>
      </c>
      <c r="E1946" s="3" t="s">
        <v>6</v>
      </c>
      <c r="F1946" s="7" t="s">
        <v>7</v>
      </c>
      <c r="G1946" s="3" t="s">
        <v>8</v>
      </c>
      <c r="H1946" s="7" t="s">
        <v>9</v>
      </c>
      <c r="I1946" s="7" t="s">
        <v>10</v>
      </c>
      <c r="J1946" s="3" t="s">
        <v>11</v>
      </c>
    </row>
    <row r="1947" spans="1:10" ht="74.25" x14ac:dyDescent="0.2">
      <c r="A1947" s="2" t="s">
        <v>1231</v>
      </c>
      <c r="B1947" s="9">
        <v>1</v>
      </c>
      <c r="C1947" s="9">
        <v>7</v>
      </c>
      <c r="D1947" s="10" t="s">
        <v>13</v>
      </c>
      <c r="E1947" s="11" t="s">
        <v>1280</v>
      </c>
      <c r="F1947" s="12">
        <v>14.000000000000002</v>
      </c>
      <c r="G1947" s="10" t="s">
        <v>31</v>
      </c>
      <c r="H1947" s="13"/>
      <c r="I1947" s="6"/>
      <c r="J1947" s="10"/>
    </row>
    <row r="1948" spans="1:10" ht="74.25" x14ac:dyDescent="0.2">
      <c r="A1948" s="2" t="s">
        <v>1231</v>
      </c>
      <c r="B1948" s="9">
        <v>1</v>
      </c>
      <c r="C1948" s="9">
        <v>7</v>
      </c>
      <c r="D1948" s="10" t="s">
        <v>16</v>
      </c>
      <c r="E1948" s="11" t="s">
        <v>1281</v>
      </c>
      <c r="F1948" s="12">
        <v>149</v>
      </c>
      <c r="G1948" s="10" t="s">
        <v>109</v>
      </c>
      <c r="H1948" s="13"/>
      <c r="I1948" s="13"/>
      <c r="J1948" s="10"/>
    </row>
    <row r="1949" spans="1:10" ht="44.25" x14ac:dyDescent="0.2">
      <c r="A1949" s="2" t="s">
        <v>1231</v>
      </c>
      <c r="B1949" s="9">
        <v>1</v>
      </c>
      <c r="C1949" s="9">
        <v>7</v>
      </c>
      <c r="D1949" s="10" t="s">
        <v>18</v>
      </c>
      <c r="E1949" s="11" t="s">
        <v>1282</v>
      </c>
      <c r="F1949" s="12">
        <v>14.000000000000002</v>
      </c>
      <c r="G1949" s="10" t="s">
        <v>31</v>
      </c>
      <c r="H1949" s="13"/>
      <c r="I1949" s="6"/>
      <c r="J1949" s="10"/>
    </row>
    <row r="1950" spans="1:10" ht="74.25" x14ac:dyDescent="0.2">
      <c r="A1950" s="2" t="s">
        <v>1231</v>
      </c>
      <c r="B1950" s="9">
        <v>1</v>
      </c>
      <c r="C1950" s="9">
        <v>7</v>
      </c>
      <c r="D1950" s="10" t="s">
        <v>20</v>
      </c>
      <c r="E1950" s="11" t="s">
        <v>1283</v>
      </c>
      <c r="F1950" s="12">
        <v>14.000000000000002</v>
      </c>
      <c r="G1950" s="10" t="s">
        <v>31</v>
      </c>
      <c r="H1950" s="13"/>
      <c r="I1950" s="6"/>
      <c r="J1950" s="10"/>
    </row>
    <row r="1951" spans="1:10" ht="74.25" x14ac:dyDescent="0.2">
      <c r="A1951" s="2" t="s">
        <v>1231</v>
      </c>
      <c r="B1951" s="9">
        <v>1</v>
      </c>
      <c r="C1951" s="9">
        <v>7</v>
      </c>
      <c r="D1951" s="10" t="s">
        <v>22</v>
      </c>
      <c r="E1951" s="11" t="s">
        <v>1284</v>
      </c>
      <c r="F1951" s="12">
        <v>1</v>
      </c>
      <c r="G1951" s="10" t="s">
        <v>15</v>
      </c>
      <c r="H1951" s="13"/>
      <c r="I1951" s="13"/>
      <c r="J1951" s="10"/>
    </row>
    <row r="1952" spans="1:10" ht="134.25" x14ac:dyDescent="0.2">
      <c r="A1952" s="2" t="s">
        <v>1231</v>
      </c>
      <c r="B1952" s="9">
        <v>1</v>
      </c>
      <c r="C1952" s="9">
        <v>7</v>
      </c>
      <c r="D1952" s="10" t="s">
        <v>24</v>
      </c>
      <c r="E1952" s="11" t="s">
        <v>1285</v>
      </c>
      <c r="F1952" s="12">
        <v>5</v>
      </c>
      <c r="G1952" s="10" t="s">
        <v>31</v>
      </c>
      <c r="H1952" s="13"/>
      <c r="I1952" s="13"/>
      <c r="J1952" s="10"/>
    </row>
    <row r="1953" spans="1:10" ht="59.25" x14ac:dyDescent="0.2">
      <c r="A1953" s="2" t="s">
        <v>1231</v>
      </c>
      <c r="B1953" s="9">
        <v>1</v>
      </c>
      <c r="C1953" s="9">
        <v>7</v>
      </c>
      <c r="D1953" s="10" t="s">
        <v>27</v>
      </c>
      <c r="E1953" s="11" t="s">
        <v>1286</v>
      </c>
      <c r="F1953" s="12">
        <v>8</v>
      </c>
      <c r="G1953" s="10" t="s">
        <v>31</v>
      </c>
      <c r="H1953" s="13"/>
      <c r="I1953" s="13"/>
      <c r="J1953" s="10"/>
    </row>
    <row r="1954" spans="1:10" x14ac:dyDescent="0.2">
      <c r="A1954" s="1" t="s">
        <v>1287</v>
      </c>
      <c r="B1954" s="1"/>
      <c r="C1954" s="1"/>
      <c r="D1954" s="1"/>
      <c r="E1954" s="1"/>
      <c r="F1954" s="1"/>
      <c r="G1954" s="1"/>
      <c r="H1954" s="1" t="s">
        <v>67</v>
      </c>
      <c r="I1954" s="13">
        <f>I1948+I1951+I1952+I1953</f>
        <v>0</v>
      </c>
      <c r="J1954" s="1"/>
    </row>
    <row r="1962" spans="1:10" ht="15" x14ac:dyDescent="0.25">
      <c r="A1962" s="3" t="s">
        <v>89</v>
      </c>
      <c r="B1962" s="14"/>
      <c r="C1962" s="14"/>
      <c r="D1962" s="14"/>
      <c r="E1962" s="14"/>
      <c r="F1962" s="14"/>
      <c r="G1962" s="14"/>
      <c r="H1962" s="14"/>
      <c r="I1962" s="7" t="s">
        <v>90</v>
      </c>
    </row>
    <row r="1963" spans="1:10" x14ac:dyDescent="0.2">
      <c r="A1963" s="15" t="s">
        <v>1288</v>
      </c>
      <c r="I1963" s="16">
        <f>I1872</f>
        <v>0</v>
      </c>
    </row>
    <row r="1964" spans="1:10" x14ac:dyDescent="0.2">
      <c r="A1964" s="15" t="s">
        <v>1289</v>
      </c>
      <c r="I1964" s="16">
        <f>I1885</f>
        <v>0</v>
      </c>
    </row>
    <row r="1965" spans="1:10" x14ac:dyDescent="0.2">
      <c r="A1965" s="15" t="s">
        <v>1290</v>
      </c>
      <c r="I1965" s="16">
        <f>I1898</f>
        <v>0</v>
      </c>
    </row>
    <row r="1966" spans="1:10" x14ac:dyDescent="0.2">
      <c r="A1966" s="15" t="s">
        <v>1291</v>
      </c>
      <c r="I1966" s="16">
        <f>I1913</f>
        <v>0</v>
      </c>
    </row>
    <row r="1967" spans="1:10" x14ac:dyDescent="0.2">
      <c r="A1967" s="15" t="s">
        <v>1292</v>
      </c>
      <c r="I1967" s="16">
        <f>I1925</f>
        <v>0</v>
      </c>
    </row>
    <row r="1968" spans="1:10" x14ac:dyDescent="0.2">
      <c r="A1968" s="15" t="s">
        <v>1293</v>
      </c>
      <c r="I1968" s="16">
        <f>I1940</f>
        <v>0</v>
      </c>
    </row>
    <row r="1969" spans="1:10" x14ac:dyDescent="0.2">
      <c r="A1969" s="15" t="s">
        <v>1294</v>
      </c>
      <c r="I1969" s="16">
        <f>I1954</f>
        <v>0</v>
      </c>
    </row>
    <row r="1970" spans="1:10" x14ac:dyDescent="0.2">
      <c r="A1970" s="15"/>
      <c r="I1970" s="15"/>
    </row>
    <row r="1971" spans="1:10" x14ac:dyDescent="0.2">
      <c r="A1971" s="17"/>
      <c r="B1971" s="18"/>
      <c r="C1971" s="18"/>
      <c r="D1971" s="18"/>
      <c r="E1971" s="18"/>
      <c r="F1971" s="18"/>
      <c r="G1971" s="18"/>
      <c r="H1971" s="18"/>
      <c r="I1971" s="17"/>
    </row>
    <row r="1972" spans="1:10" x14ac:dyDescent="0.2">
      <c r="H1972" s="4" t="s">
        <v>95</v>
      </c>
      <c r="I1972" s="13">
        <f>SUM(I1963:I1971)</f>
        <v>0</v>
      </c>
    </row>
    <row r="1976" spans="1:10" ht="15" x14ac:dyDescent="0.25">
      <c r="A1976" s="21" t="s">
        <v>1295</v>
      </c>
      <c r="B1976" s="22"/>
      <c r="C1976" s="22"/>
      <c r="D1976" s="22"/>
      <c r="E1976" s="22"/>
      <c r="F1976" s="22"/>
      <c r="G1976" s="22"/>
      <c r="H1976" s="22"/>
      <c r="I1976" s="22"/>
      <c r="J1976" s="22"/>
    </row>
    <row r="1977" spans="1:10" ht="15" x14ac:dyDescent="0.25">
      <c r="A1977" s="21" t="s">
        <v>1296</v>
      </c>
      <c r="B1977" s="22"/>
      <c r="C1977" s="22"/>
      <c r="D1977" s="22"/>
      <c r="E1977" s="22"/>
      <c r="F1977" s="22"/>
      <c r="G1977" s="22"/>
      <c r="H1977" s="22"/>
      <c r="I1977" s="22"/>
      <c r="J1977" s="22"/>
    </row>
    <row r="1979" spans="1:10" ht="15" x14ac:dyDescent="0.25">
      <c r="A1979" s="3" t="s">
        <v>2</v>
      </c>
      <c r="B1979" s="3" t="s">
        <v>3</v>
      </c>
      <c r="C1979" s="3" t="s">
        <v>4</v>
      </c>
      <c r="D1979" s="3" t="s">
        <v>5</v>
      </c>
      <c r="E1979" s="3" t="s">
        <v>6</v>
      </c>
      <c r="F1979" s="7" t="s">
        <v>7</v>
      </c>
      <c r="G1979" s="3" t="s">
        <v>8</v>
      </c>
      <c r="H1979" s="7" t="s">
        <v>9</v>
      </c>
      <c r="I1979" s="7" t="s">
        <v>10</v>
      </c>
      <c r="J1979" s="3" t="s">
        <v>11</v>
      </c>
    </row>
    <row r="1980" spans="1:10" ht="164.25" x14ac:dyDescent="0.2">
      <c r="A1980" s="2" t="s">
        <v>1297</v>
      </c>
      <c r="B1980" s="9">
        <v>1</v>
      </c>
      <c r="C1980" s="9">
        <v>1</v>
      </c>
      <c r="D1980" s="10" t="s">
        <v>13</v>
      </c>
      <c r="E1980" s="11" t="s">
        <v>1298</v>
      </c>
      <c r="F1980" s="12">
        <v>4</v>
      </c>
      <c r="G1980" s="10" t="s">
        <v>83</v>
      </c>
      <c r="H1980" s="13"/>
      <c r="I1980" s="13"/>
      <c r="J1980" s="10"/>
    </row>
    <row r="1981" spans="1:10" x14ac:dyDescent="0.2">
      <c r="A1981" s="2" t="s">
        <v>1297</v>
      </c>
      <c r="B1981" s="9">
        <v>1</v>
      </c>
      <c r="C1981" s="9">
        <v>1</v>
      </c>
      <c r="D1981" s="10" t="s">
        <v>16</v>
      </c>
      <c r="E1981" s="11" t="s">
        <v>1150</v>
      </c>
      <c r="F1981" s="12">
        <v>1</v>
      </c>
      <c r="G1981" s="10" t="s">
        <v>31</v>
      </c>
      <c r="H1981" s="13"/>
      <c r="I1981" s="13"/>
      <c r="J1981" s="10"/>
    </row>
    <row r="1982" spans="1:10" x14ac:dyDescent="0.2">
      <c r="A1982" s="2" t="s">
        <v>1297</v>
      </c>
      <c r="B1982" s="9">
        <v>1</v>
      </c>
      <c r="C1982" s="9">
        <v>1</v>
      </c>
      <c r="D1982" s="10" t="s">
        <v>18</v>
      </c>
      <c r="E1982" s="11" t="s">
        <v>1151</v>
      </c>
      <c r="F1982" s="12">
        <v>2</v>
      </c>
      <c r="G1982" s="10" t="s">
        <v>31</v>
      </c>
      <c r="H1982" s="13"/>
      <c r="I1982" s="13"/>
      <c r="J1982" s="10"/>
    </row>
    <row r="1983" spans="1:10" x14ac:dyDescent="0.2">
      <c r="A1983" s="1" t="s">
        <v>1299</v>
      </c>
      <c r="B1983" s="1"/>
      <c r="C1983" s="1"/>
      <c r="D1983" s="1"/>
      <c r="E1983" s="1"/>
      <c r="F1983" s="1"/>
      <c r="G1983" s="1"/>
      <c r="H1983" s="1" t="s">
        <v>67</v>
      </c>
      <c r="I1983" s="13">
        <f>I1980+I1981+I1982</f>
        <v>0</v>
      </c>
      <c r="J1983" s="1"/>
    </row>
    <row r="1991" spans="1:10" ht="15" x14ac:dyDescent="0.25">
      <c r="A1991" s="3" t="s">
        <v>89</v>
      </c>
      <c r="B1991" s="14"/>
      <c r="C1991" s="14"/>
      <c r="D1991" s="14"/>
      <c r="E1991" s="14"/>
      <c r="F1991" s="14"/>
      <c r="G1991" s="14"/>
      <c r="H1991" s="14"/>
      <c r="I1991" s="7" t="s">
        <v>90</v>
      </c>
    </row>
    <row r="1992" spans="1:10" x14ac:dyDescent="0.2">
      <c r="A1992" s="15" t="s">
        <v>1300</v>
      </c>
      <c r="I1992" s="16">
        <f>I1983</f>
        <v>0</v>
      </c>
    </row>
    <row r="1993" spans="1:10" x14ac:dyDescent="0.2">
      <c r="A1993" s="15"/>
      <c r="I1993" s="15"/>
    </row>
    <row r="1994" spans="1:10" x14ac:dyDescent="0.2">
      <c r="A1994" s="17"/>
      <c r="B1994" s="18"/>
      <c r="C1994" s="18"/>
      <c r="D1994" s="18"/>
      <c r="E1994" s="18"/>
      <c r="F1994" s="18"/>
      <c r="G1994" s="18"/>
      <c r="H1994" s="18"/>
      <c r="I1994" s="17"/>
    </row>
    <row r="1995" spans="1:10" x14ac:dyDescent="0.2">
      <c r="H1995" s="4" t="s">
        <v>95</v>
      </c>
      <c r="I1995" s="13">
        <f>SUM(I1992:I1994)</f>
        <v>0</v>
      </c>
    </row>
    <row r="1999" spans="1:10" ht="15" x14ac:dyDescent="0.25">
      <c r="A1999" s="21" t="s">
        <v>1301</v>
      </c>
      <c r="B1999" s="22"/>
      <c r="C1999" s="22"/>
      <c r="D1999" s="22"/>
      <c r="E1999" s="22"/>
      <c r="F1999" s="22"/>
      <c r="G1999" s="22"/>
      <c r="H1999" s="22"/>
      <c r="I1999" s="22"/>
      <c r="J1999" s="22"/>
    </row>
    <row r="2000" spans="1:10" ht="15" x14ac:dyDescent="0.25">
      <c r="A2000" s="21" t="s">
        <v>1302</v>
      </c>
      <c r="B2000" s="22"/>
      <c r="C2000" s="22"/>
      <c r="D2000" s="22"/>
      <c r="E2000" s="22"/>
      <c r="F2000" s="22"/>
      <c r="G2000" s="22"/>
      <c r="H2000" s="22"/>
      <c r="I2000" s="22"/>
      <c r="J2000" s="22"/>
    </row>
    <row r="2002" spans="1:10" ht="15" x14ac:dyDescent="0.25">
      <c r="A2002" s="3" t="s">
        <v>2</v>
      </c>
      <c r="B2002" s="3" t="s">
        <v>3</v>
      </c>
      <c r="C2002" s="3" t="s">
        <v>4</v>
      </c>
      <c r="D2002" s="3" t="s">
        <v>5</v>
      </c>
      <c r="E2002" s="3" t="s">
        <v>6</v>
      </c>
      <c r="F2002" s="7" t="s">
        <v>7</v>
      </c>
      <c r="G2002" s="3" t="s">
        <v>8</v>
      </c>
      <c r="H2002" s="7" t="s">
        <v>9</v>
      </c>
      <c r="I2002" s="7" t="s">
        <v>10</v>
      </c>
      <c r="J2002" s="3" t="s">
        <v>11</v>
      </c>
    </row>
    <row r="2003" spans="1:10" x14ac:dyDescent="0.2">
      <c r="A2003" s="2" t="s">
        <v>1303</v>
      </c>
      <c r="B2003" s="9">
        <v>1</v>
      </c>
      <c r="C2003" s="9">
        <v>1</v>
      </c>
      <c r="D2003" s="10" t="s">
        <v>13</v>
      </c>
      <c r="E2003" s="11" t="s">
        <v>1304</v>
      </c>
      <c r="F2003" s="12">
        <v>0</v>
      </c>
      <c r="G2003" s="10"/>
      <c r="H2003" s="13"/>
      <c r="I2003" s="6"/>
      <c r="J2003" s="10"/>
    </row>
    <row r="2004" spans="1:10" x14ac:dyDescent="0.2">
      <c r="A2004" s="1" t="s">
        <v>1305</v>
      </c>
      <c r="B2004" s="1"/>
      <c r="C2004" s="1"/>
      <c r="D2004" s="1"/>
      <c r="E2004" s="1"/>
      <c r="F2004" s="1"/>
      <c r="G2004" s="1"/>
      <c r="H2004" s="1" t="s">
        <v>67</v>
      </c>
      <c r="I2004" s="13"/>
      <c r="J2004" s="1"/>
    </row>
    <row r="2012" spans="1:10" ht="15" x14ac:dyDescent="0.25">
      <c r="A2012" s="3" t="s">
        <v>89</v>
      </c>
      <c r="B2012" s="14"/>
      <c r="C2012" s="14"/>
      <c r="D2012" s="14"/>
      <c r="E2012" s="14"/>
      <c r="F2012" s="14"/>
      <c r="G2012" s="14"/>
      <c r="H2012" s="14"/>
      <c r="I2012" s="7" t="s">
        <v>90</v>
      </c>
    </row>
    <row r="2013" spans="1:10" x14ac:dyDescent="0.2">
      <c r="A2013" s="15" t="s">
        <v>1306</v>
      </c>
      <c r="I2013" s="16">
        <f>I2004</f>
        <v>0</v>
      </c>
    </row>
    <row r="2014" spans="1:10" x14ac:dyDescent="0.2">
      <c r="A2014" s="15"/>
      <c r="I2014" s="15"/>
    </row>
    <row r="2015" spans="1:10" x14ac:dyDescent="0.2">
      <c r="A2015" s="17"/>
      <c r="B2015" s="18"/>
      <c r="C2015" s="18"/>
      <c r="D2015" s="18"/>
      <c r="E2015" s="18"/>
      <c r="F2015" s="18"/>
      <c r="G2015" s="18"/>
      <c r="H2015" s="18"/>
      <c r="I2015" s="17"/>
    </row>
    <row r="2016" spans="1:10" x14ac:dyDescent="0.2">
      <c r="H2016" s="4" t="s">
        <v>95</v>
      </c>
      <c r="I2016" s="13">
        <f>SUM(I2013:I2015)</f>
        <v>0</v>
      </c>
    </row>
    <row r="2020" spans="1:10" ht="15" x14ac:dyDescent="0.25">
      <c r="A2020" s="21" t="s">
        <v>1307</v>
      </c>
      <c r="B2020" s="22"/>
      <c r="C2020" s="22"/>
      <c r="D2020" s="22"/>
      <c r="E2020" s="22"/>
      <c r="F2020" s="22"/>
      <c r="G2020" s="22"/>
      <c r="H2020" s="22"/>
      <c r="I2020" s="22"/>
      <c r="J2020" s="22"/>
    </row>
    <row r="2021" spans="1:10" ht="15" x14ac:dyDescent="0.25">
      <c r="A2021" s="21" t="s">
        <v>1308</v>
      </c>
      <c r="B2021" s="22"/>
      <c r="C2021" s="22"/>
      <c r="D2021" s="22"/>
      <c r="E2021" s="22"/>
      <c r="F2021" s="22"/>
      <c r="G2021" s="22"/>
      <c r="H2021" s="22"/>
      <c r="I2021" s="22"/>
      <c r="J2021" s="22"/>
    </row>
    <row r="2023" spans="1:10" ht="15" x14ac:dyDescent="0.25">
      <c r="A2023" s="3" t="s">
        <v>2</v>
      </c>
      <c r="B2023" s="3" t="s">
        <v>3</v>
      </c>
      <c r="C2023" s="3" t="s">
        <v>4</v>
      </c>
      <c r="D2023" s="3" t="s">
        <v>5</v>
      </c>
      <c r="E2023" s="3" t="s">
        <v>6</v>
      </c>
      <c r="F2023" s="7" t="s">
        <v>7</v>
      </c>
      <c r="G2023" s="3" t="s">
        <v>8</v>
      </c>
      <c r="H2023" s="7" t="s">
        <v>9</v>
      </c>
      <c r="I2023" s="7" t="s">
        <v>10</v>
      </c>
      <c r="J2023" s="3" t="s">
        <v>11</v>
      </c>
    </row>
    <row r="2024" spans="1:10" ht="134.25" x14ac:dyDescent="0.2">
      <c r="A2024" s="2" t="s">
        <v>1309</v>
      </c>
      <c r="B2024" s="9">
        <v>1</v>
      </c>
      <c r="C2024" s="9">
        <v>1</v>
      </c>
      <c r="D2024" s="10" t="s">
        <v>13</v>
      </c>
      <c r="E2024" s="11" t="s">
        <v>1218</v>
      </c>
      <c r="F2024" s="12">
        <v>516</v>
      </c>
      <c r="G2024" s="10" t="s">
        <v>79</v>
      </c>
      <c r="H2024" s="13"/>
      <c r="I2024" s="13"/>
      <c r="J2024" s="10"/>
    </row>
    <row r="2025" spans="1:10" ht="74.25" x14ac:dyDescent="0.2">
      <c r="A2025" s="2" t="s">
        <v>1309</v>
      </c>
      <c r="B2025" s="9">
        <v>1</v>
      </c>
      <c r="C2025" s="9">
        <v>1</v>
      </c>
      <c r="D2025" s="10" t="s">
        <v>20</v>
      </c>
      <c r="E2025" s="11" t="s">
        <v>1221</v>
      </c>
      <c r="F2025" s="12">
        <v>681.99999999999989</v>
      </c>
      <c r="G2025" s="10" t="s">
        <v>109</v>
      </c>
      <c r="H2025" s="13"/>
      <c r="I2025" s="13"/>
      <c r="J2025" s="10"/>
    </row>
    <row r="2026" spans="1:10" ht="74.25" x14ac:dyDescent="0.2">
      <c r="A2026" s="2" t="s">
        <v>1309</v>
      </c>
      <c r="B2026" s="9">
        <v>1</v>
      </c>
      <c r="C2026" s="9">
        <v>1</v>
      </c>
      <c r="D2026" s="10" t="s">
        <v>22</v>
      </c>
      <c r="E2026" s="11" t="s">
        <v>85</v>
      </c>
      <c r="F2026" s="12">
        <v>1</v>
      </c>
      <c r="G2026" s="10" t="s">
        <v>15</v>
      </c>
      <c r="H2026" s="13"/>
      <c r="I2026" s="6"/>
      <c r="J2026" s="10"/>
    </row>
    <row r="2027" spans="1:10" x14ac:dyDescent="0.2">
      <c r="A2027" s="2" t="s">
        <v>1309</v>
      </c>
      <c r="B2027" s="9">
        <v>1</v>
      </c>
      <c r="C2027" s="9">
        <v>1</v>
      </c>
      <c r="D2027" s="10" t="s">
        <v>24</v>
      </c>
      <c r="E2027" s="11" t="s">
        <v>86</v>
      </c>
      <c r="F2027" s="12">
        <v>1</v>
      </c>
      <c r="G2027" s="10" t="s">
        <v>15</v>
      </c>
      <c r="H2027" s="13"/>
      <c r="I2027" s="6"/>
      <c r="J2027" s="10"/>
    </row>
    <row r="2028" spans="1:10" ht="44.25" x14ac:dyDescent="0.2">
      <c r="A2028" s="2" t="s">
        <v>1309</v>
      </c>
      <c r="B2028" s="9">
        <v>1</v>
      </c>
      <c r="C2028" s="9">
        <v>1</v>
      </c>
      <c r="D2028" s="10" t="s">
        <v>27</v>
      </c>
      <c r="E2028" s="11" t="s">
        <v>87</v>
      </c>
      <c r="F2028" s="12">
        <v>516</v>
      </c>
      <c r="G2028" s="10" t="s">
        <v>79</v>
      </c>
      <c r="H2028" s="13"/>
      <c r="I2028" s="13"/>
      <c r="J2028" s="10"/>
    </row>
    <row r="2029" spans="1:10" ht="74.25" x14ac:dyDescent="0.2">
      <c r="A2029" s="2" t="s">
        <v>1309</v>
      </c>
      <c r="B2029" s="9">
        <v>1</v>
      </c>
      <c r="C2029" s="9">
        <v>1</v>
      </c>
      <c r="D2029" s="10" t="s">
        <v>29</v>
      </c>
      <c r="E2029" s="11" t="s">
        <v>1222</v>
      </c>
      <c r="F2029" s="12">
        <v>0</v>
      </c>
      <c r="G2029" s="10" t="s">
        <v>79</v>
      </c>
      <c r="H2029" s="13"/>
      <c r="I2029" s="13"/>
      <c r="J2029" s="10"/>
    </row>
    <row r="2030" spans="1:10" x14ac:dyDescent="0.2">
      <c r="A2030" s="1" t="s">
        <v>1310</v>
      </c>
      <c r="B2030" s="1"/>
      <c r="C2030" s="1"/>
      <c r="D2030" s="1"/>
      <c r="E2030" s="1"/>
      <c r="F2030" s="1"/>
      <c r="G2030" s="1"/>
      <c r="H2030" s="1" t="s">
        <v>67</v>
      </c>
      <c r="I2030" s="13">
        <f>I2024+I2025+I2028+I2029</f>
        <v>0</v>
      </c>
      <c r="J2030" s="1"/>
    </row>
    <row r="2033" spans="1:10" ht="15" x14ac:dyDescent="0.25">
      <c r="A2033" s="21" t="s">
        <v>1311</v>
      </c>
      <c r="B2033" s="22"/>
      <c r="C2033" s="22"/>
      <c r="D2033" s="22"/>
      <c r="E2033" s="22"/>
      <c r="F2033" s="22"/>
      <c r="G2033" s="22"/>
      <c r="H2033" s="22"/>
      <c r="I2033" s="22"/>
      <c r="J2033" s="22"/>
    </row>
    <row r="2034" spans="1:10" ht="15" x14ac:dyDescent="0.25">
      <c r="A2034" s="21" t="s">
        <v>1308</v>
      </c>
      <c r="B2034" s="22"/>
      <c r="C2034" s="22"/>
      <c r="D2034" s="22"/>
      <c r="E2034" s="22"/>
      <c r="F2034" s="22"/>
      <c r="G2034" s="22"/>
      <c r="H2034" s="22"/>
      <c r="I2034" s="22"/>
      <c r="J2034" s="22"/>
    </row>
    <row r="2036" spans="1:10" ht="15" x14ac:dyDescent="0.25">
      <c r="A2036" s="3" t="s">
        <v>2</v>
      </c>
      <c r="B2036" s="3" t="s">
        <v>3</v>
      </c>
      <c r="C2036" s="3" t="s">
        <v>4</v>
      </c>
      <c r="D2036" s="3" t="s">
        <v>5</v>
      </c>
      <c r="E2036" s="3" t="s">
        <v>6</v>
      </c>
      <c r="F2036" s="7" t="s">
        <v>7</v>
      </c>
      <c r="G2036" s="3" t="s">
        <v>8</v>
      </c>
      <c r="H2036" s="7" t="s">
        <v>9</v>
      </c>
      <c r="I2036" s="7" t="s">
        <v>10</v>
      </c>
      <c r="J2036" s="3" t="s">
        <v>11</v>
      </c>
    </row>
    <row r="2037" spans="1:10" ht="74.25" x14ac:dyDescent="0.2">
      <c r="A2037" s="2" t="s">
        <v>1309</v>
      </c>
      <c r="B2037" s="9">
        <v>1</v>
      </c>
      <c r="C2037" s="9">
        <v>2</v>
      </c>
      <c r="D2037" s="10" t="s">
        <v>13</v>
      </c>
      <c r="E2037" s="11" t="s">
        <v>1225</v>
      </c>
      <c r="F2037" s="12">
        <v>1024</v>
      </c>
      <c r="G2037" s="10" t="s">
        <v>109</v>
      </c>
      <c r="H2037" s="13"/>
      <c r="I2037" s="13"/>
      <c r="J2037" s="10"/>
    </row>
    <row r="2038" spans="1:10" x14ac:dyDescent="0.2">
      <c r="A2038" s="1" t="s">
        <v>1312</v>
      </c>
      <c r="B2038" s="1"/>
      <c r="C2038" s="1"/>
      <c r="D2038" s="1"/>
      <c r="E2038" s="1"/>
      <c r="F2038" s="1"/>
      <c r="G2038" s="1"/>
      <c r="H2038" s="1" t="s">
        <v>67</v>
      </c>
      <c r="I2038" s="13">
        <f>I2037</f>
        <v>0</v>
      </c>
      <c r="J2038" s="1"/>
    </row>
    <row r="2046" spans="1:10" ht="15" x14ac:dyDescent="0.25">
      <c r="A2046" s="3" t="s">
        <v>89</v>
      </c>
      <c r="B2046" s="14"/>
      <c r="C2046" s="14"/>
      <c r="D2046" s="14"/>
      <c r="E2046" s="14"/>
      <c r="F2046" s="14"/>
      <c r="G2046" s="14"/>
      <c r="H2046" s="14"/>
      <c r="I2046" s="7" t="s">
        <v>90</v>
      </c>
    </row>
    <row r="2047" spans="1:10" x14ac:dyDescent="0.2">
      <c r="A2047" s="15" t="s">
        <v>1313</v>
      </c>
      <c r="I2047" s="16">
        <f>I2030</f>
        <v>0</v>
      </c>
    </row>
    <row r="2048" spans="1:10" x14ac:dyDescent="0.2">
      <c r="A2048" s="15" t="s">
        <v>1314</v>
      </c>
      <c r="I2048" s="16">
        <f>I2038</f>
        <v>0</v>
      </c>
    </row>
    <row r="2049" spans="1:10" x14ac:dyDescent="0.2">
      <c r="A2049" s="15"/>
      <c r="I2049" s="15"/>
    </row>
    <row r="2050" spans="1:10" x14ac:dyDescent="0.2">
      <c r="A2050" s="17"/>
      <c r="B2050" s="18"/>
      <c r="C2050" s="18"/>
      <c r="D2050" s="18"/>
      <c r="E2050" s="18"/>
      <c r="F2050" s="18"/>
      <c r="G2050" s="18"/>
      <c r="H2050" s="18"/>
      <c r="I2050" s="17"/>
    </row>
    <row r="2051" spans="1:10" x14ac:dyDescent="0.2">
      <c r="H2051" s="4" t="s">
        <v>95</v>
      </c>
      <c r="I2051" s="13">
        <f>SUM(I2047:I2050)</f>
        <v>0</v>
      </c>
    </row>
    <row r="2055" spans="1:10" ht="15" x14ac:dyDescent="0.25">
      <c r="A2055" s="21" t="s">
        <v>1315</v>
      </c>
      <c r="B2055" s="22"/>
      <c r="C2055" s="22"/>
      <c r="D2055" s="22"/>
      <c r="E2055" s="22"/>
      <c r="F2055" s="22"/>
      <c r="G2055" s="22"/>
      <c r="H2055" s="22"/>
      <c r="I2055" s="22"/>
      <c r="J2055" s="22"/>
    </row>
    <row r="2056" spans="1:10" ht="15" x14ac:dyDescent="0.25">
      <c r="A2056" s="21" t="s">
        <v>1316</v>
      </c>
      <c r="B2056" s="22"/>
      <c r="C2056" s="22"/>
      <c r="D2056" s="22"/>
      <c r="E2056" s="22"/>
      <c r="F2056" s="22"/>
      <c r="G2056" s="22"/>
      <c r="H2056" s="22"/>
      <c r="I2056" s="22"/>
      <c r="J2056" s="22"/>
    </row>
    <row r="2058" spans="1:10" ht="15" x14ac:dyDescent="0.25">
      <c r="A2058" s="3" t="s">
        <v>2</v>
      </c>
      <c r="B2058" s="3" t="s">
        <v>3</v>
      </c>
      <c r="C2058" s="3" t="s">
        <v>4</v>
      </c>
      <c r="D2058" s="3" t="s">
        <v>5</v>
      </c>
      <c r="E2058" s="3" t="s">
        <v>6</v>
      </c>
      <c r="F2058" s="7" t="s">
        <v>7</v>
      </c>
      <c r="G2058" s="3" t="s">
        <v>8</v>
      </c>
      <c r="H2058" s="7" t="s">
        <v>9</v>
      </c>
      <c r="I2058" s="7" t="s">
        <v>10</v>
      </c>
      <c r="J2058" s="3" t="s">
        <v>11</v>
      </c>
    </row>
    <row r="2059" spans="1:10" ht="134.25" x14ac:dyDescent="0.2">
      <c r="A2059" s="2" t="s">
        <v>1317</v>
      </c>
      <c r="B2059" s="9">
        <v>1</v>
      </c>
      <c r="C2059" s="9">
        <v>1</v>
      </c>
      <c r="D2059" s="10" t="s">
        <v>13</v>
      </c>
      <c r="E2059" s="11" t="s">
        <v>1318</v>
      </c>
      <c r="F2059" s="12">
        <v>103</v>
      </c>
      <c r="G2059" s="10" t="s">
        <v>79</v>
      </c>
      <c r="H2059" s="13"/>
      <c r="I2059" s="13"/>
      <c r="J2059" s="10"/>
    </row>
    <row r="2060" spans="1:10" ht="44.25" x14ac:dyDescent="0.2">
      <c r="A2060" s="2" t="s">
        <v>1317</v>
      </c>
      <c r="B2060" s="9">
        <v>1</v>
      </c>
      <c r="C2060" s="9">
        <v>1</v>
      </c>
      <c r="D2060" s="10" t="s">
        <v>16</v>
      </c>
      <c r="E2060" s="11" t="s">
        <v>1319</v>
      </c>
      <c r="F2060" s="12">
        <v>260</v>
      </c>
      <c r="G2060" s="10" t="s">
        <v>79</v>
      </c>
      <c r="H2060" s="13"/>
      <c r="I2060" s="13"/>
      <c r="J2060" s="10"/>
    </row>
    <row r="2061" spans="1:10" ht="74.25" x14ac:dyDescent="0.2">
      <c r="A2061" s="2" t="s">
        <v>1317</v>
      </c>
      <c r="B2061" s="9">
        <v>1</v>
      </c>
      <c r="C2061" s="9">
        <v>1</v>
      </c>
      <c r="D2061" s="10" t="s">
        <v>18</v>
      </c>
      <c r="E2061" s="11" t="s">
        <v>1225</v>
      </c>
      <c r="F2061" s="12">
        <v>969.99999999999989</v>
      </c>
      <c r="G2061" s="10" t="s">
        <v>109</v>
      </c>
      <c r="H2061" s="13"/>
      <c r="I2061" s="13"/>
      <c r="J2061" s="10"/>
    </row>
    <row r="2062" spans="1:10" ht="44.25" x14ac:dyDescent="0.2">
      <c r="A2062" s="2" t="s">
        <v>1317</v>
      </c>
      <c r="B2062" s="9">
        <v>1</v>
      </c>
      <c r="C2062" s="9">
        <v>1</v>
      </c>
      <c r="D2062" s="10" t="s">
        <v>20</v>
      </c>
      <c r="E2062" s="11" t="s">
        <v>1240</v>
      </c>
      <c r="F2062" s="12">
        <v>969.99999999999989</v>
      </c>
      <c r="G2062" s="10" t="s">
        <v>109</v>
      </c>
      <c r="H2062" s="13"/>
      <c r="I2062" s="13"/>
      <c r="J2062" s="10"/>
    </row>
    <row r="2063" spans="1:10" ht="194.25" x14ac:dyDescent="0.2">
      <c r="A2063" s="2" t="s">
        <v>1317</v>
      </c>
      <c r="B2063" s="9">
        <v>1</v>
      </c>
      <c r="C2063" s="9">
        <v>1</v>
      </c>
      <c r="D2063" s="10" t="s">
        <v>22</v>
      </c>
      <c r="E2063" s="11" t="s">
        <v>1320</v>
      </c>
      <c r="F2063" s="12">
        <v>99</v>
      </c>
      <c r="G2063" s="10" t="s">
        <v>83</v>
      </c>
      <c r="H2063" s="13"/>
      <c r="I2063" s="13"/>
      <c r="J2063" s="10"/>
    </row>
    <row r="2064" spans="1:10" x14ac:dyDescent="0.2">
      <c r="A2064" s="1" t="s">
        <v>1321</v>
      </c>
      <c r="B2064" s="1"/>
      <c r="C2064" s="1"/>
      <c r="D2064" s="1"/>
      <c r="E2064" s="1"/>
      <c r="F2064" s="1"/>
      <c r="G2064" s="1"/>
      <c r="H2064" s="1" t="s">
        <v>67</v>
      </c>
      <c r="I2064" s="13">
        <f>I2059+I2060+I2061+I2062+I2063</f>
        <v>0</v>
      </c>
      <c r="J2064" s="1"/>
    </row>
    <row r="2067" spans="1:10" ht="15" x14ac:dyDescent="0.25">
      <c r="A2067" s="21" t="s">
        <v>1322</v>
      </c>
      <c r="B2067" s="22"/>
      <c r="C2067" s="22"/>
      <c r="D2067" s="22"/>
      <c r="E2067" s="22"/>
      <c r="F2067" s="22"/>
      <c r="G2067" s="22"/>
      <c r="H2067" s="22"/>
      <c r="I2067" s="22"/>
      <c r="J2067" s="22"/>
    </row>
    <row r="2068" spans="1:10" ht="15" x14ac:dyDescent="0.25">
      <c r="A2068" s="21" t="s">
        <v>1316</v>
      </c>
      <c r="B2068" s="22"/>
      <c r="C2068" s="22"/>
      <c r="D2068" s="22"/>
      <c r="E2068" s="22"/>
      <c r="F2068" s="22"/>
      <c r="G2068" s="22"/>
      <c r="H2068" s="22"/>
      <c r="I2068" s="22"/>
      <c r="J2068" s="22"/>
    </row>
    <row r="2070" spans="1:10" ht="15" x14ac:dyDescent="0.25">
      <c r="A2070" s="3" t="s">
        <v>2</v>
      </c>
      <c r="B2070" s="3" t="s">
        <v>3</v>
      </c>
      <c r="C2070" s="3" t="s">
        <v>4</v>
      </c>
      <c r="D2070" s="3" t="s">
        <v>5</v>
      </c>
      <c r="E2070" s="3" t="s">
        <v>6</v>
      </c>
      <c r="F2070" s="7" t="s">
        <v>7</v>
      </c>
      <c r="G2070" s="3" t="s">
        <v>8</v>
      </c>
      <c r="H2070" s="7" t="s">
        <v>9</v>
      </c>
      <c r="I2070" s="7" t="s">
        <v>10</v>
      </c>
      <c r="J2070" s="3" t="s">
        <v>11</v>
      </c>
    </row>
    <row r="2071" spans="1:10" ht="104.25" x14ac:dyDescent="0.2">
      <c r="A2071" s="2" t="s">
        <v>1317</v>
      </c>
      <c r="B2071" s="9">
        <v>1</v>
      </c>
      <c r="C2071" s="9">
        <v>2</v>
      </c>
      <c r="D2071" s="10" t="s">
        <v>13</v>
      </c>
      <c r="E2071" s="11" t="s">
        <v>1323</v>
      </c>
      <c r="F2071" s="12">
        <v>10</v>
      </c>
      <c r="G2071" s="10" t="s">
        <v>79</v>
      </c>
      <c r="H2071" s="13"/>
      <c r="I2071" s="13"/>
      <c r="J2071" s="10"/>
    </row>
    <row r="2072" spans="1:10" ht="74.25" x14ac:dyDescent="0.2">
      <c r="A2072" s="2" t="s">
        <v>1317</v>
      </c>
      <c r="B2072" s="9">
        <v>1</v>
      </c>
      <c r="C2072" s="9">
        <v>2</v>
      </c>
      <c r="D2072" s="10" t="s">
        <v>16</v>
      </c>
      <c r="E2072" s="11" t="s">
        <v>1324</v>
      </c>
      <c r="F2072" s="12">
        <v>69</v>
      </c>
      <c r="G2072" s="10" t="s">
        <v>109</v>
      </c>
      <c r="H2072" s="13"/>
      <c r="I2072" s="13"/>
      <c r="J2072" s="10"/>
    </row>
    <row r="2073" spans="1:10" x14ac:dyDescent="0.2">
      <c r="A2073" s="2" t="s">
        <v>1317</v>
      </c>
      <c r="B2073" s="9">
        <v>1</v>
      </c>
      <c r="C2073" s="9">
        <v>2</v>
      </c>
      <c r="D2073" s="10" t="s">
        <v>18</v>
      </c>
      <c r="E2073" s="11" t="s">
        <v>1256</v>
      </c>
      <c r="F2073" s="12">
        <v>69</v>
      </c>
      <c r="G2073" s="10" t="s">
        <v>109</v>
      </c>
      <c r="H2073" s="13"/>
      <c r="I2073" s="13"/>
      <c r="J2073" s="10"/>
    </row>
    <row r="2074" spans="1:10" ht="149.25" x14ac:dyDescent="0.2">
      <c r="A2074" s="2" t="s">
        <v>1317</v>
      </c>
      <c r="B2074" s="9">
        <v>1</v>
      </c>
      <c r="C2074" s="9">
        <v>2</v>
      </c>
      <c r="D2074" s="10" t="s">
        <v>20</v>
      </c>
      <c r="E2074" s="11" t="s">
        <v>1325</v>
      </c>
      <c r="F2074" s="12">
        <v>69</v>
      </c>
      <c r="G2074" s="10" t="s">
        <v>109</v>
      </c>
      <c r="H2074" s="13"/>
      <c r="I2074" s="13"/>
      <c r="J2074" s="10"/>
    </row>
    <row r="2075" spans="1:10" ht="104.25" x14ac:dyDescent="0.2">
      <c r="A2075" s="2" t="s">
        <v>1317</v>
      </c>
      <c r="B2075" s="9">
        <v>1</v>
      </c>
      <c r="C2075" s="9">
        <v>2</v>
      </c>
      <c r="D2075" s="10" t="s">
        <v>22</v>
      </c>
      <c r="E2075" s="11" t="s">
        <v>1268</v>
      </c>
      <c r="F2075" s="12">
        <v>412</v>
      </c>
      <c r="G2075" s="10" t="s">
        <v>109</v>
      </c>
      <c r="H2075" s="13"/>
      <c r="I2075" s="13"/>
      <c r="J2075" s="10"/>
    </row>
    <row r="2076" spans="1:10" ht="74.25" x14ac:dyDescent="0.2">
      <c r="A2076" s="2" t="s">
        <v>1317</v>
      </c>
      <c r="B2076" s="9">
        <v>1</v>
      </c>
      <c r="C2076" s="9">
        <v>2</v>
      </c>
      <c r="D2076" s="10" t="s">
        <v>24</v>
      </c>
      <c r="E2076" s="11" t="s">
        <v>1271</v>
      </c>
      <c r="F2076" s="12">
        <v>412</v>
      </c>
      <c r="G2076" s="10" t="s">
        <v>109</v>
      </c>
      <c r="H2076" s="13"/>
      <c r="I2076" s="13"/>
      <c r="J2076" s="10"/>
    </row>
    <row r="2077" spans="1:10" x14ac:dyDescent="0.2">
      <c r="A2077" s="1" t="s">
        <v>1326</v>
      </c>
      <c r="B2077" s="1"/>
      <c r="C2077" s="1"/>
      <c r="D2077" s="1"/>
      <c r="E2077" s="1"/>
      <c r="F2077" s="1"/>
      <c r="G2077" s="1"/>
      <c r="H2077" s="1" t="s">
        <v>67</v>
      </c>
      <c r="I2077" s="13">
        <f>I2071+I2072+I2073+I2074+I2075+I2076</f>
        <v>0</v>
      </c>
      <c r="J2077" s="1"/>
    </row>
    <row r="2080" spans="1:10" ht="15" x14ac:dyDescent="0.25">
      <c r="A2080" s="21" t="s">
        <v>1327</v>
      </c>
      <c r="B2080" s="22"/>
      <c r="C2080" s="22"/>
      <c r="D2080" s="22"/>
      <c r="E2080" s="22"/>
      <c r="F2080" s="22"/>
      <c r="G2080" s="22"/>
      <c r="H2080" s="22"/>
      <c r="I2080" s="22"/>
      <c r="J2080" s="22"/>
    </row>
    <row r="2081" spans="1:10" ht="15" x14ac:dyDescent="0.25">
      <c r="A2081" s="21" t="s">
        <v>1316</v>
      </c>
      <c r="B2081" s="22"/>
      <c r="C2081" s="22"/>
      <c r="D2081" s="22"/>
      <c r="E2081" s="22"/>
      <c r="F2081" s="22"/>
      <c r="G2081" s="22"/>
      <c r="H2081" s="22"/>
      <c r="I2081" s="22"/>
      <c r="J2081" s="22"/>
    </row>
    <row r="2083" spans="1:10" ht="15" x14ac:dyDescent="0.25">
      <c r="A2083" s="3" t="s">
        <v>2</v>
      </c>
      <c r="B2083" s="3" t="s">
        <v>3</v>
      </c>
      <c r="C2083" s="3" t="s">
        <v>4</v>
      </c>
      <c r="D2083" s="3" t="s">
        <v>5</v>
      </c>
      <c r="E2083" s="3" t="s">
        <v>6</v>
      </c>
      <c r="F2083" s="7" t="s">
        <v>7</v>
      </c>
      <c r="G2083" s="3" t="s">
        <v>8</v>
      </c>
      <c r="H2083" s="7" t="s">
        <v>9</v>
      </c>
      <c r="I2083" s="7" t="s">
        <v>10</v>
      </c>
      <c r="J2083" s="3" t="s">
        <v>11</v>
      </c>
    </row>
    <row r="2084" spans="1:10" ht="74.25" x14ac:dyDescent="0.2">
      <c r="A2084" s="2" t="s">
        <v>1317</v>
      </c>
      <c r="B2084" s="9">
        <v>1</v>
      </c>
      <c r="C2084" s="9">
        <v>3</v>
      </c>
      <c r="D2084" s="10" t="s">
        <v>13</v>
      </c>
      <c r="E2084" s="11" t="s">
        <v>1272</v>
      </c>
      <c r="F2084" s="12">
        <v>412</v>
      </c>
      <c r="G2084" s="10" t="s">
        <v>109</v>
      </c>
      <c r="H2084" s="13"/>
      <c r="I2084" s="6"/>
      <c r="J2084" s="10"/>
    </row>
    <row r="2085" spans="1:10" ht="74.25" x14ac:dyDescent="0.2">
      <c r="A2085" s="2" t="s">
        <v>1317</v>
      </c>
      <c r="B2085" s="9">
        <v>1</v>
      </c>
      <c r="C2085" s="9">
        <v>3</v>
      </c>
      <c r="D2085" s="10" t="s">
        <v>16</v>
      </c>
      <c r="E2085" s="11" t="s">
        <v>1273</v>
      </c>
      <c r="F2085" s="12">
        <v>1</v>
      </c>
      <c r="G2085" s="10" t="s">
        <v>15</v>
      </c>
      <c r="H2085" s="13"/>
      <c r="I2085" s="6"/>
      <c r="J2085" s="10"/>
    </row>
    <row r="2086" spans="1:10" ht="104.25" x14ac:dyDescent="0.2">
      <c r="A2086" s="2" t="s">
        <v>1317</v>
      </c>
      <c r="B2086" s="9">
        <v>1</v>
      </c>
      <c r="C2086" s="9">
        <v>3</v>
      </c>
      <c r="D2086" s="10" t="s">
        <v>18</v>
      </c>
      <c r="E2086" s="11" t="s">
        <v>1274</v>
      </c>
      <c r="F2086" s="12">
        <v>542</v>
      </c>
      <c r="G2086" s="10" t="s">
        <v>109</v>
      </c>
      <c r="H2086" s="13"/>
      <c r="I2086" s="6"/>
      <c r="J2086" s="10"/>
    </row>
    <row r="2087" spans="1:10" ht="44.25" x14ac:dyDescent="0.2">
      <c r="A2087" s="2" t="s">
        <v>1317</v>
      </c>
      <c r="B2087" s="9">
        <v>1</v>
      </c>
      <c r="C2087" s="9">
        <v>3</v>
      </c>
      <c r="D2087" s="10" t="s">
        <v>20</v>
      </c>
      <c r="E2087" s="11" t="s">
        <v>1275</v>
      </c>
      <c r="F2087" s="12">
        <v>16</v>
      </c>
      <c r="G2087" s="10" t="s">
        <v>109</v>
      </c>
      <c r="H2087" s="13"/>
      <c r="I2087" s="6"/>
      <c r="J2087" s="10"/>
    </row>
    <row r="2088" spans="1:10" ht="74.25" x14ac:dyDescent="0.2">
      <c r="A2088" s="2" t="s">
        <v>1317</v>
      </c>
      <c r="B2088" s="9">
        <v>1</v>
      </c>
      <c r="C2088" s="9">
        <v>3</v>
      </c>
      <c r="D2088" s="10" t="s">
        <v>22</v>
      </c>
      <c r="E2088" s="11" t="s">
        <v>1271</v>
      </c>
      <c r="F2088" s="12">
        <v>558</v>
      </c>
      <c r="G2088" s="10" t="s">
        <v>109</v>
      </c>
      <c r="H2088" s="13"/>
      <c r="I2088" s="6"/>
      <c r="J2088" s="10"/>
    </row>
    <row r="2089" spans="1:10" ht="74.25" x14ac:dyDescent="0.2">
      <c r="A2089" s="2" t="s">
        <v>1317</v>
      </c>
      <c r="B2089" s="9">
        <v>1</v>
      </c>
      <c r="C2089" s="9">
        <v>3</v>
      </c>
      <c r="D2089" s="10" t="s">
        <v>24</v>
      </c>
      <c r="E2089" s="11" t="s">
        <v>1276</v>
      </c>
      <c r="F2089" s="12">
        <v>386.99999999999994</v>
      </c>
      <c r="G2089" s="10" t="s">
        <v>109</v>
      </c>
      <c r="H2089" s="13"/>
      <c r="I2089" s="6"/>
      <c r="J2089" s="10"/>
    </row>
    <row r="2090" spans="1:10" ht="44.25" x14ac:dyDescent="0.2">
      <c r="A2090" s="2" t="s">
        <v>1317</v>
      </c>
      <c r="B2090" s="9">
        <v>1</v>
      </c>
      <c r="C2090" s="9">
        <v>3</v>
      </c>
      <c r="D2090" s="10" t="s">
        <v>27</v>
      </c>
      <c r="E2090" s="11" t="s">
        <v>1277</v>
      </c>
      <c r="F2090" s="12">
        <v>10</v>
      </c>
      <c r="G2090" s="10" t="s">
        <v>109</v>
      </c>
      <c r="H2090" s="13"/>
      <c r="I2090" s="6"/>
      <c r="J2090" s="10"/>
    </row>
    <row r="2091" spans="1:10" ht="44.25" x14ac:dyDescent="0.2">
      <c r="A2091" s="2" t="s">
        <v>1317</v>
      </c>
      <c r="B2091" s="9">
        <v>1</v>
      </c>
      <c r="C2091" s="9">
        <v>3</v>
      </c>
      <c r="D2091" s="10" t="s">
        <v>29</v>
      </c>
      <c r="E2091" s="11" t="s">
        <v>1328</v>
      </c>
      <c r="F2091" s="12">
        <v>145</v>
      </c>
      <c r="G2091" s="10" t="s">
        <v>109</v>
      </c>
      <c r="H2091" s="13"/>
      <c r="I2091" s="6"/>
      <c r="J2091" s="10"/>
    </row>
    <row r="2092" spans="1:10" x14ac:dyDescent="0.2">
      <c r="A2092" s="1" t="s">
        <v>1329</v>
      </c>
      <c r="B2092" s="1"/>
      <c r="C2092" s="1"/>
      <c r="D2092" s="1"/>
      <c r="E2092" s="1"/>
      <c r="F2092" s="1"/>
      <c r="G2092" s="1"/>
      <c r="H2092" s="1" t="s">
        <v>67</v>
      </c>
      <c r="I2092" s="13"/>
      <c r="J2092" s="1"/>
    </row>
    <row r="2095" spans="1:10" ht="15" x14ac:dyDescent="0.25">
      <c r="A2095" s="21" t="s">
        <v>1330</v>
      </c>
      <c r="B2095" s="22"/>
      <c r="C2095" s="22"/>
      <c r="D2095" s="22"/>
      <c r="E2095" s="22"/>
      <c r="F2095" s="22"/>
      <c r="G2095" s="22"/>
      <c r="H2095" s="22"/>
      <c r="I2095" s="22"/>
      <c r="J2095" s="22"/>
    </row>
    <row r="2096" spans="1:10" ht="15" x14ac:dyDescent="0.25">
      <c r="A2096" s="21" t="s">
        <v>1316</v>
      </c>
      <c r="B2096" s="22"/>
      <c r="C2096" s="22"/>
      <c r="D2096" s="22"/>
      <c r="E2096" s="22"/>
      <c r="F2096" s="22"/>
      <c r="G2096" s="22"/>
      <c r="H2096" s="22"/>
      <c r="I2096" s="22"/>
      <c r="J2096" s="22"/>
    </row>
    <row r="2098" spans="1:10" ht="15" x14ac:dyDescent="0.25">
      <c r="A2098" s="3" t="s">
        <v>2</v>
      </c>
      <c r="B2098" s="3" t="s">
        <v>3</v>
      </c>
      <c r="C2098" s="3" t="s">
        <v>4</v>
      </c>
      <c r="D2098" s="3" t="s">
        <v>5</v>
      </c>
      <c r="E2098" s="3" t="s">
        <v>6</v>
      </c>
      <c r="F2098" s="7" t="s">
        <v>7</v>
      </c>
      <c r="G2098" s="3" t="s">
        <v>8</v>
      </c>
      <c r="H2098" s="7" t="s">
        <v>9</v>
      </c>
      <c r="I2098" s="7" t="s">
        <v>10</v>
      </c>
      <c r="J2098" s="3" t="s">
        <v>11</v>
      </c>
    </row>
    <row r="2099" spans="1:10" ht="74.25" x14ac:dyDescent="0.2">
      <c r="A2099" s="2" t="s">
        <v>1317</v>
      </c>
      <c r="B2099" s="9">
        <v>1</v>
      </c>
      <c r="C2099" s="9">
        <v>4</v>
      </c>
      <c r="D2099" s="10" t="s">
        <v>13</v>
      </c>
      <c r="E2099" s="11" t="s">
        <v>1280</v>
      </c>
      <c r="F2099" s="12">
        <v>16</v>
      </c>
      <c r="G2099" s="10" t="s">
        <v>31</v>
      </c>
      <c r="H2099" s="13"/>
      <c r="I2099" s="6"/>
      <c r="J2099" s="10"/>
    </row>
    <row r="2100" spans="1:10" ht="74.25" x14ac:dyDescent="0.2">
      <c r="A2100" s="2" t="s">
        <v>1317</v>
      </c>
      <c r="B2100" s="9">
        <v>1</v>
      </c>
      <c r="C2100" s="9">
        <v>4</v>
      </c>
      <c r="D2100" s="10" t="s">
        <v>16</v>
      </c>
      <c r="E2100" s="11" t="s">
        <v>1281</v>
      </c>
      <c r="F2100" s="12">
        <v>542</v>
      </c>
      <c r="G2100" s="10" t="s">
        <v>109</v>
      </c>
      <c r="H2100" s="13"/>
      <c r="I2100" s="6"/>
      <c r="J2100" s="10"/>
    </row>
    <row r="2101" spans="1:10" ht="44.25" x14ac:dyDescent="0.2">
      <c r="A2101" s="2" t="s">
        <v>1317</v>
      </c>
      <c r="B2101" s="9">
        <v>1</v>
      </c>
      <c r="C2101" s="9">
        <v>4</v>
      </c>
      <c r="D2101" s="10" t="s">
        <v>18</v>
      </c>
      <c r="E2101" s="11" t="s">
        <v>1282</v>
      </c>
      <c r="F2101" s="12">
        <v>16</v>
      </c>
      <c r="G2101" s="10" t="s">
        <v>31</v>
      </c>
      <c r="H2101" s="13"/>
      <c r="I2101" s="6"/>
      <c r="J2101" s="10"/>
    </row>
    <row r="2102" spans="1:10" ht="74.25" x14ac:dyDescent="0.2">
      <c r="A2102" s="2" t="s">
        <v>1317</v>
      </c>
      <c r="B2102" s="9">
        <v>1</v>
      </c>
      <c r="C2102" s="9">
        <v>4</v>
      </c>
      <c r="D2102" s="10" t="s">
        <v>20</v>
      </c>
      <c r="E2102" s="11" t="s">
        <v>1283</v>
      </c>
      <c r="F2102" s="12">
        <v>16</v>
      </c>
      <c r="G2102" s="10" t="s">
        <v>31</v>
      </c>
      <c r="H2102" s="13"/>
      <c r="I2102" s="13"/>
      <c r="J2102" s="10"/>
    </row>
    <row r="2103" spans="1:10" ht="74.25" x14ac:dyDescent="0.2">
      <c r="A2103" s="2" t="s">
        <v>1317</v>
      </c>
      <c r="B2103" s="9">
        <v>1</v>
      </c>
      <c r="C2103" s="9">
        <v>4</v>
      </c>
      <c r="D2103" s="10" t="s">
        <v>22</v>
      </c>
      <c r="E2103" s="11" t="s">
        <v>1284</v>
      </c>
      <c r="F2103" s="12">
        <v>1</v>
      </c>
      <c r="G2103" s="10" t="s">
        <v>15</v>
      </c>
      <c r="H2103" s="13"/>
      <c r="I2103" s="6"/>
      <c r="J2103" s="10"/>
    </row>
    <row r="2104" spans="1:10" ht="149.25" x14ac:dyDescent="0.2">
      <c r="A2104" s="2" t="s">
        <v>1317</v>
      </c>
      <c r="B2104" s="9">
        <v>1</v>
      </c>
      <c r="C2104" s="9">
        <v>4</v>
      </c>
      <c r="D2104" s="10" t="s">
        <v>24</v>
      </c>
      <c r="E2104" s="11" t="s">
        <v>1331</v>
      </c>
      <c r="F2104" s="12">
        <v>16</v>
      </c>
      <c r="G2104" s="10" t="s">
        <v>83</v>
      </c>
      <c r="H2104" s="13"/>
      <c r="I2104" s="13"/>
      <c r="J2104" s="10"/>
    </row>
    <row r="2105" spans="1:10" x14ac:dyDescent="0.2">
      <c r="A2105" s="1" t="s">
        <v>1332</v>
      </c>
      <c r="B2105" s="1"/>
      <c r="C2105" s="1"/>
      <c r="D2105" s="1"/>
      <c r="E2105" s="1"/>
      <c r="F2105" s="1"/>
      <c r="G2105" s="1"/>
      <c r="H2105" s="1" t="s">
        <v>67</v>
      </c>
      <c r="I2105" s="13">
        <f>I2102+I2104</f>
        <v>0</v>
      </c>
      <c r="J2105" s="1"/>
    </row>
    <row r="2113" spans="1:10" ht="15" x14ac:dyDescent="0.25">
      <c r="A2113" s="3" t="s">
        <v>89</v>
      </c>
      <c r="B2113" s="14"/>
      <c r="C2113" s="14"/>
      <c r="D2113" s="14"/>
      <c r="E2113" s="14"/>
      <c r="F2113" s="14"/>
      <c r="G2113" s="14"/>
      <c r="H2113" s="14"/>
      <c r="I2113" s="7" t="s">
        <v>90</v>
      </c>
    </row>
    <row r="2114" spans="1:10" x14ac:dyDescent="0.2">
      <c r="A2114" s="15" t="s">
        <v>1333</v>
      </c>
      <c r="I2114" s="16">
        <f>I2064</f>
        <v>0</v>
      </c>
    </row>
    <row r="2115" spans="1:10" x14ac:dyDescent="0.2">
      <c r="A2115" s="15" t="s">
        <v>1334</v>
      </c>
      <c r="I2115" s="16">
        <f>I2077</f>
        <v>0</v>
      </c>
    </row>
    <row r="2116" spans="1:10" x14ac:dyDescent="0.2">
      <c r="A2116" s="15" t="s">
        <v>1335</v>
      </c>
      <c r="I2116" s="16">
        <f>I2092</f>
        <v>0</v>
      </c>
    </row>
    <row r="2117" spans="1:10" x14ac:dyDescent="0.2">
      <c r="A2117" s="15" t="s">
        <v>1336</v>
      </c>
      <c r="I2117" s="16">
        <f>I2105</f>
        <v>0</v>
      </c>
    </row>
    <row r="2118" spans="1:10" x14ac:dyDescent="0.2">
      <c r="A2118" s="15"/>
      <c r="I2118" s="15"/>
    </row>
    <row r="2119" spans="1:10" x14ac:dyDescent="0.2">
      <c r="A2119" s="17"/>
      <c r="B2119" s="18"/>
      <c r="C2119" s="18"/>
      <c r="D2119" s="18"/>
      <c r="E2119" s="18"/>
      <c r="F2119" s="18"/>
      <c r="G2119" s="18"/>
      <c r="H2119" s="18"/>
      <c r="I2119" s="17"/>
    </row>
    <row r="2120" spans="1:10" x14ac:dyDescent="0.2">
      <c r="H2120" s="4" t="s">
        <v>95</v>
      </c>
      <c r="I2120" s="13">
        <f>SUM(I2114:I2119)</f>
        <v>0</v>
      </c>
    </row>
    <row r="2124" spans="1:10" ht="15" x14ac:dyDescent="0.25">
      <c r="A2124" s="21" t="s">
        <v>1337</v>
      </c>
      <c r="B2124" s="22"/>
      <c r="C2124" s="22"/>
      <c r="D2124" s="22"/>
      <c r="E2124" s="22"/>
      <c r="F2124" s="22"/>
      <c r="G2124" s="22"/>
      <c r="H2124" s="22"/>
      <c r="I2124" s="22"/>
      <c r="J2124" s="22"/>
    </row>
    <row r="2125" spans="1:10" ht="15" x14ac:dyDescent="0.25">
      <c r="A2125" s="21" t="s">
        <v>1338</v>
      </c>
      <c r="B2125" s="22"/>
      <c r="C2125" s="22"/>
      <c r="D2125" s="22"/>
      <c r="E2125" s="22"/>
      <c r="F2125" s="22"/>
      <c r="G2125" s="22"/>
      <c r="H2125" s="22"/>
      <c r="I2125" s="22"/>
      <c r="J2125" s="22"/>
    </row>
    <row r="2127" spans="1:10" ht="15" x14ac:dyDescent="0.25">
      <c r="A2127" s="3" t="s">
        <v>2</v>
      </c>
      <c r="B2127" s="3" t="s">
        <v>3</v>
      </c>
      <c r="C2127" s="3" t="s">
        <v>4</v>
      </c>
      <c r="D2127" s="3" t="s">
        <v>5</v>
      </c>
      <c r="E2127" s="3" t="s">
        <v>6</v>
      </c>
      <c r="F2127" s="7" t="s">
        <v>7</v>
      </c>
      <c r="G2127" s="3" t="s">
        <v>8</v>
      </c>
      <c r="H2127" s="7" t="s">
        <v>9</v>
      </c>
      <c r="I2127" s="7" t="s">
        <v>10</v>
      </c>
      <c r="J2127" s="3" t="s">
        <v>11</v>
      </c>
    </row>
    <row r="2128" spans="1:10" ht="164.25" x14ac:dyDescent="0.2">
      <c r="A2128" s="2" t="s">
        <v>1339</v>
      </c>
      <c r="B2128" s="9">
        <v>1</v>
      </c>
      <c r="C2128" s="9">
        <v>1</v>
      </c>
      <c r="D2128" s="10" t="s">
        <v>13</v>
      </c>
      <c r="E2128" s="11" t="s">
        <v>1340</v>
      </c>
      <c r="F2128" s="12">
        <v>11</v>
      </c>
      <c r="G2128" s="10" t="s">
        <v>83</v>
      </c>
      <c r="H2128" s="13"/>
      <c r="I2128" s="13"/>
      <c r="J2128" s="10"/>
    </row>
    <row r="2129" spans="1:10" ht="89.25" x14ac:dyDescent="0.2">
      <c r="A2129" s="2" t="s">
        <v>1339</v>
      </c>
      <c r="B2129" s="9">
        <v>1</v>
      </c>
      <c r="C2129" s="9">
        <v>1</v>
      </c>
      <c r="D2129" s="10" t="s">
        <v>16</v>
      </c>
      <c r="E2129" s="11" t="s">
        <v>1162</v>
      </c>
      <c r="F2129" s="12">
        <v>11</v>
      </c>
      <c r="G2129" s="10" t="s">
        <v>83</v>
      </c>
      <c r="H2129" s="13"/>
      <c r="I2129" s="13"/>
      <c r="J2129" s="10"/>
    </row>
    <row r="2130" spans="1:10" ht="74.25" x14ac:dyDescent="0.2">
      <c r="A2130" s="2" t="s">
        <v>1339</v>
      </c>
      <c r="B2130" s="9">
        <v>1</v>
      </c>
      <c r="C2130" s="9">
        <v>1</v>
      </c>
      <c r="D2130" s="10" t="s">
        <v>18</v>
      </c>
      <c r="E2130" s="11" t="s">
        <v>1341</v>
      </c>
      <c r="F2130" s="12">
        <v>11</v>
      </c>
      <c r="G2130" s="10" t="s">
        <v>83</v>
      </c>
      <c r="H2130" s="13"/>
      <c r="I2130" s="13"/>
      <c r="J2130" s="10"/>
    </row>
    <row r="2131" spans="1:10" ht="74.25" x14ac:dyDescent="0.2">
      <c r="A2131" s="2" t="s">
        <v>1339</v>
      </c>
      <c r="B2131" s="9">
        <v>1</v>
      </c>
      <c r="C2131" s="9">
        <v>1</v>
      </c>
      <c r="D2131" s="10" t="s">
        <v>20</v>
      </c>
      <c r="E2131" s="11" t="s">
        <v>1342</v>
      </c>
      <c r="F2131" s="12">
        <v>2</v>
      </c>
      <c r="G2131" s="10" t="s">
        <v>31</v>
      </c>
      <c r="H2131" s="13"/>
      <c r="I2131" s="13"/>
      <c r="J2131" s="10"/>
    </row>
    <row r="2132" spans="1:10" x14ac:dyDescent="0.2">
      <c r="A2132" s="1" t="s">
        <v>1343</v>
      </c>
      <c r="B2132" s="1"/>
      <c r="C2132" s="1"/>
      <c r="D2132" s="1"/>
      <c r="E2132" s="1"/>
      <c r="F2132" s="1"/>
      <c r="G2132" s="1"/>
      <c r="H2132" s="1" t="s">
        <v>67</v>
      </c>
      <c r="I2132" s="13">
        <f>I2128+I2129+I2130+I2131</f>
        <v>0</v>
      </c>
      <c r="J2132" s="1"/>
    </row>
    <row r="2135" spans="1:10" ht="15" x14ac:dyDescent="0.25">
      <c r="A2135" s="21" t="s">
        <v>1344</v>
      </c>
      <c r="B2135" s="22"/>
      <c r="C2135" s="22"/>
      <c r="D2135" s="22"/>
      <c r="E2135" s="22"/>
      <c r="F2135" s="22"/>
      <c r="G2135" s="22"/>
      <c r="H2135" s="22"/>
      <c r="I2135" s="22"/>
      <c r="J2135" s="22"/>
    </row>
    <row r="2136" spans="1:10" ht="15" x14ac:dyDescent="0.25">
      <c r="A2136" s="21" t="s">
        <v>1338</v>
      </c>
      <c r="B2136" s="22"/>
      <c r="C2136" s="22"/>
      <c r="D2136" s="22"/>
      <c r="E2136" s="22"/>
      <c r="F2136" s="22"/>
      <c r="G2136" s="22"/>
      <c r="H2136" s="22"/>
      <c r="I2136" s="22"/>
      <c r="J2136" s="22"/>
    </row>
    <row r="2138" spans="1:10" ht="15" x14ac:dyDescent="0.25">
      <c r="A2138" s="3" t="s">
        <v>2</v>
      </c>
      <c r="B2138" s="3" t="s">
        <v>3</v>
      </c>
      <c r="C2138" s="3" t="s">
        <v>4</v>
      </c>
      <c r="D2138" s="3" t="s">
        <v>5</v>
      </c>
      <c r="E2138" s="3" t="s">
        <v>6</v>
      </c>
      <c r="F2138" s="7" t="s">
        <v>7</v>
      </c>
      <c r="G2138" s="3" t="s">
        <v>8</v>
      </c>
      <c r="H2138" s="7" t="s">
        <v>9</v>
      </c>
      <c r="I2138" s="7" t="s">
        <v>10</v>
      </c>
      <c r="J2138" s="3" t="s">
        <v>11</v>
      </c>
    </row>
    <row r="2139" spans="1:10" ht="179.25" x14ac:dyDescent="0.2">
      <c r="A2139" s="2" t="s">
        <v>1339</v>
      </c>
      <c r="B2139" s="9">
        <v>1</v>
      </c>
      <c r="C2139" s="9">
        <v>2</v>
      </c>
      <c r="D2139" s="10" t="s">
        <v>13</v>
      </c>
      <c r="E2139" s="11" t="s">
        <v>1345</v>
      </c>
      <c r="F2139" s="12">
        <v>2</v>
      </c>
      <c r="G2139" s="10" t="s">
        <v>31</v>
      </c>
      <c r="H2139" s="13"/>
      <c r="I2139" s="13"/>
      <c r="J2139" s="10"/>
    </row>
    <row r="2140" spans="1:10" ht="119.25" x14ac:dyDescent="0.2">
      <c r="A2140" s="2" t="s">
        <v>1339</v>
      </c>
      <c r="B2140" s="9">
        <v>1</v>
      </c>
      <c r="C2140" s="9">
        <v>2</v>
      </c>
      <c r="D2140" s="10" t="s">
        <v>16</v>
      </c>
      <c r="E2140" s="11" t="s">
        <v>1346</v>
      </c>
      <c r="F2140" s="12">
        <v>1</v>
      </c>
      <c r="G2140" s="10" t="s">
        <v>31</v>
      </c>
      <c r="H2140" s="13"/>
      <c r="I2140" s="13"/>
      <c r="J2140" s="10"/>
    </row>
    <row r="2141" spans="1:10" ht="74.25" x14ac:dyDescent="0.2">
      <c r="A2141" s="2" t="s">
        <v>1339</v>
      </c>
      <c r="B2141" s="9">
        <v>1</v>
      </c>
      <c r="C2141" s="9">
        <v>2</v>
      </c>
      <c r="D2141" s="10" t="s">
        <v>18</v>
      </c>
      <c r="E2141" s="11" t="s">
        <v>1199</v>
      </c>
      <c r="F2141" s="12">
        <v>1</v>
      </c>
      <c r="G2141" s="10" t="s">
        <v>15</v>
      </c>
      <c r="H2141" s="13"/>
      <c r="I2141" s="13"/>
      <c r="J2141" s="10"/>
    </row>
    <row r="2142" spans="1:10" x14ac:dyDescent="0.2">
      <c r="A2142" s="2" t="s">
        <v>1339</v>
      </c>
      <c r="B2142" s="9">
        <v>1</v>
      </c>
      <c r="C2142" s="9">
        <v>2</v>
      </c>
      <c r="D2142" s="10" t="s">
        <v>20</v>
      </c>
      <c r="E2142" s="11" t="s">
        <v>1200</v>
      </c>
      <c r="F2142" s="12">
        <v>1</v>
      </c>
      <c r="G2142" s="10" t="s">
        <v>15</v>
      </c>
      <c r="H2142" s="13"/>
      <c r="I2142" s="13"/>
      <c r="J2142" s="10"/>
    </row>
    <row r="2143" spans="1:10" ht="44.25" x14ac:dyDescent="0.2">
      <c r="A2143" s="2" t="s">
        <v>1339</v>
      </c>
      <c r="B2143" s="9">
        <v>1</v>
      </c>
      <c r="C2143" s="9">
        <v>2</v>
      </c>
      <c r="D2143" s="10" t="s">
        <v>22</v>
      </c>
      <c r="E2143" s="11" t="s">
        <v>1201</v>
      </c>
      <c r="F2143" s="12">
        <v>1</v>
      </c>
      <c r="G2143" s="10" t="s">
        <v>15</v>
      </c>
      <c r="H2143" s="13"/>
      <c r="I2143" s="13"/>
      <c r="J2143" s="10"/>
    </row>
    <row r="2144" spans="1:10" x14ac:dyDescent="0.2">
      <c r="A2144" s="2" t="s">
        <v>1339</v>
      </c>
      <c r="B2144" s="9">
        <v>1</v>
      </c>
      <c r="C2144" s="9">
        <v>2</v>
      </c>
      <c r="D2144" s="10" t="s">
        <v>24</v>
      </c>
      <c r="E2144" s="11" t="s">
        <v>1200</v>
      </c>
      <c r="F2144" s="12">
        <v>1</v>
      </c>
      <c r="G2144" s="10" t="s">
        <v>15</v>
      </c>
      <c r="H2144" s="13"/>
      <c r="I2144" s="13"/>
      <c r="J2144" s="10"/>
    </row>
    <row r="2145" spans="1:10" ht="44.25" x14ac:dyDescent="0.2">
      <c r="A2145" s="2" t="s">
        <v>1339</v>
      </c>
      <c r="B2145" s="9">
        <v>1</v>
      </c>
      <c r="C2145" s="9">
        <v>2</v>
      </c>
      <c r="D2145" s="10" t="s">
        <v>27</v>
      </c>
      <c r="E2145" s="11" t="s">
        <v>1347</v>
      </c>
      <c r="F2145" s="12">
        <v>1</v>
      </c>
      <c r="G2145" s="10" t="s">
        <v>15</v>
      </c>
      <c r="H2145" s="13"/>
      <c r="I2145" s="13"/>
      <c r="J2145" s="10"/>
    </row>
    <row r="2146" spans="1:10" x14ac:dyDescent="0.2">
      <c r="A2146" s="1" t="s">
        <v>1348</v>
      </c>
      <c r="B2146" s="1"/>
      <c r="C2146" s="1"/>
      <c r="D2146" s="1"/>
      <c r="E2146" s="1"/>
      <c r="F2146" s="1"/>
      <c r="G2146" s="1"/>
      <c r="H2146" s="1" t="s">
        <v>67</v>
      </c>
      <c r="I2146" s="13">
        <f>I2139+I2140+I2141+I2142+I2143+I2144+I2145</f>
        <v>0</v>
      </c>
      <c r="J2146" s="1"/>
    </row>
    <row r="2149" spans="1:10" ht="15" x14ac:dyDescent="0.25">
      <c r="A2149" s="21" t="s">
        <v>1349</v>
      </c>
      <c r="B2149" s="22"/>
      <c r="C2149" s="22"/>
      <c r="D2149" s="22"/>
      <c r="E2149" s="22"/>
      <c r="F2149" s="22"/>
      <c r="G2149" s="22"/>
      <c r="H2149" s="22"/>
      <c r="I2149" s="22"/>
      <c r="J2149" s="22"/>
    </row>
    <row r="2150" spans="1:10" ht="15" x14ac:dyDescent="0.25">
      <c r="A2150" s="21" t="s">
        <v>1338</v>
      </c>
      <c r="B2150" s="22"/>
      <c r="C2150" s="22"/>
      <c r="D2150" s="22"/>
      <c r="E2150" s="22"/>
      <c r="F2150" s="22"/>
      <c r="G2150" s="22"/>
      <c r="H2150" s="22"/>
      <c r="I2150" s="22"/>
      <c r="J2150" s="22"/>
    </row>
    <row r="2152" spans="1:10" ht="15" x14ac:dyDescent="0.25">
      <c r="A2152" s="3" t="s">
        <v>2</v>
      </c>
      <c r="B2152" s="3" t="s">
        <v>3</v>
      </c>
      <c r="C2152" s="3" t="s">
        <v>4</v>
      </c>
      <c r="D2152" s="3" t="s">
        <v>5</v>
      </c>
      <c r="E2152" s="3" t="s">
        <v>6</v>
      </c>
      <c r="F2152" s="7" t="s">
        <v>7</v>
      </c>
      <c r="G2152" s="3" t="s">
        <v>8</v>
      </c>
      <c r="H2152" s="7" t="s">
        <v>9</v>
      </c>
      <c r="I2152" s="7" t="s">
        <v>10</v>
      </c>
      <c r="J2152" s="3" t="s">
        <v>11</v>
      </c>
    </row>
    <row r="2153" spans="1:10" ht="74.25" x14ac:dyDescent="0.2">
      <c r="A2153" s="2" t="s">
        <v>1339</v>
      </c>
      <c r="B2153" s="9">
        <v>1</v>
      </c>
      <c r="C2153" s="9">
        <v>3</v>
      </c>
      <c r="D2153" s="10" t="s">
        <v>13</v>
      </c>
      <c r="E2153" s="11" t="s">
        <v>1207</v>
      </c>
      <c r="F2153" s="12">
        <v>1</v>
      </c>
      <c r="G2153" s="10" t="s">
        <v>15</v>
      </c>
      <c r="H2153" s="13"/>
      <c r="I2153" s="13"/>
      <c r="J2153" s="10"/>
    </row>
    <row r="2154" spans="1:10" ht="134.25" x14ac:dyDescent="0.2">
      <c r="A2154" s="2" t="s">
        <v>1339</v>
      </c>
      <c r="B2154" s="9">
        <v>1</v>
      </c>
      <c r="C2154" s="9">
        <v>3</v>
      </c>
      <c r="D2154" s="10" t="s">
        <v>16</v>
      </c>
      <c r="E2154" s="11" t="s">
        <v>1350</v>
      </c>
      <c r="F2154" s="12">
        <v>111.00000000000001</v>
      </c>
      <c r="G2154" s="10" t="s">
        <v>83</v>
      </c>
      <c r="H2154" s="13"/>
      <c r="I2154" s="13"/>
      <c r="J2154" s="10"/>
    </row>
    <row r="2155" spans="1:10" ht="104.25" x14ac:dyDescent="0.2">
      <c r="A2155" s="2" t="s">
        <v>1339</v>
      </c>
      <c r="B2155" s="9">
        <v>1</v>
      </c>
      <c r="C2155" s="9">
        <v>3</v>
      </c>
      <c r="D2155" s="10" t="s">
        <v>18</v>
      </c>
      <c r="E2155" s="11" t="s">
        <v>1351</v>
      </c>
      <c r="F2155" s="12">
        <v>111.00000000000001</v>
      </c>
      <c r="G2155" s="10" t="s">
        <v>83</v>
      </c>
      <c r="H2155" s="13"/>
      <c r="I2155" s="6"/>
      <c r="J2155" s="10"/>
    </row>
    <row r="2156" spans="1:10" ht="74.25" x14ac:dyDescent="0.2">
      <c r="A2156" s="2" t="s">
        <v>1339</v>
      </c>
      <c r="B2156" s="9">
        <v>1</v>
      </c>
      <c r="C2156" s="9">
        <v>3</v>
      </c>
      <c r="D2156" s="10" t="s">
        <v>20</v>
      </c>
      <c r="E2156" s="11" t="s">
        <v>1352</v>
      </c>
      <c r="F2156" s="12">
        <v>111.00000000000001</v>
      </c>
      <c r="G2156" s="10" t="s">
        <v>83</v>
      </c>
      <c r="H2156" s="13"/>
      <c r="I2156" s="13"/>
      <c r="J2156" s="10"/>
    </row>
    <row r="2157" spans="1:10" x14ac:dyDescent="0.2">
      <c r="A2157" s="2" t="s">
        <v>1339</v>
      </c>
      <c r="B2157" s="9">
        <v>1</v>
      </c>
      <c r="C2157" s="9">
        <v>3</v>
      </c>
      <c r="D2157" s="10" t="s">
        <v>22</v>
      </c>
      <c r="E2157" s="11" t="s">
        <v>1168</v>
      </c>
      <c r="F2157" s="12">
        <v>24</v>
      </c>
      <c r="G2157" s="10" t="s">
        <v>31</v>
      </c>
      <c r="H2157" s="13"/>
      <c r="I2157" s="13"/>
      <c r="J2157" s="10"/>
    </row>
    <row r="2158" spans="1:10" ht="74.25" x14ac:dyDescent="0.2">
      <c r="A2158" s="2" t="s">
        <v>1339</v>
      </c>
      <c r="B2158" s="9">
        <v>1</v>
      </c>
      <c r="C2158" s="9">
        <v>3</v>
      </c>
      <c r="D2158" s="10" t="s">
        <v>24</v>
      </c>
      <c r="E2158" s="11" t="s">
        <v>1180</v>
      </c>
      <c r="F2158" s="12">
        <v>4</v>
      </c>
      <c r="G2158" s="10" t="s">
        <v>31</v>
      </c>
      <c r="H2158" s="13"/>
      <c r="I2158" s="13"/>
      <c r="J2158" s="10"/>
    </row>
    <row r="2159" spans="1:10" x14ac:dyDescent="0.2">
      <c r="A2159" s="1" t="s">
        <v>1353</v>
      </c>
      <c r="B2159" s="1"/>
      <c r="C2159" s="1"/>
      <c r="D2159" s="1"/>
      <c r="E2159" s="1"/>
      <c r="F2159" s="1"/>
      <c r="G2159" s="1"/>
      <c r="H2159" s="1" t="s">
        <v>67</v>
      </c>
      <c r="I2159" s="13">
        <f>I2153+I2154+I2156+I2157+I2158</f>
        <v>0</v>
      </c>
      <c r="J2159" s="1"/>
    </row>
    <row r="2167" spans="1:9" ht="15" x14ac:dyDescent="0.25">
      <c r="A2167" s="3" t="s">
        <v>89</v>
      </c>
      <c r="B2167" s="14"/>
      <c r="C2167" s="14"/>
      <c r="D2167" s="14"/>
      <c r="E2167" s="14"/>
      <c r="F2167" s="14"/>
      <c r="G2167" s="14"/>
      <c r="H2167" s="14"/>
      <c r="I2167" s="7" t="s">
        <v>90</v>
      </c>
    </row>
    <row r="2168" spans="1:9" x14ac:dyDescent="0.2">
      <c r="A2168" s="15" t="s">
        <v>1354</v>
      </c>
      <c r="I2168" s="16">
        <f>I2132</f>
        <v>0</v>
      </c>
    </row>
    <row r="2169" spans="1:9" x14ac:dyDescent="0.2">
      <c r="A2169" s="15" t="s">
        <v>1355</v>
      </c>
      <c r="I2169" s="16">
        <f>I2146</f>
        <v>0</v>
      </c>
    </row>
    <row r="2170" spans="1:9" x14ac:dyDescent="0.2">
      <c r="A2170" s="15" t="s">
        <v>1356</v>
      </c>
      <c r="I2170" s="16">
        <f>I2159</f>
        <v>0</v>
      </c>
    </row>
    <row r="2171" spans="1:9" x14ac:dyDescent="0.2">
      <c r="A2171" s="15"/>
      <c r="I2171" s="15"/>
    </row>
    <row r="2172" spans="1:9" x14ac:dyDescent="0.2">
      <c r="A2172" s="17"/>
      <c r="B2172" s="18"/>
      <c r="C2172" s="18"/>
      <c r="D2172" s="18"/>
      <c r="E2172" s="18"/>
      <c r="F2172" s="18"/>
      <c r="G2172" s="18"/>
      <c r="H2172" s="18"/>
      <c r="I2172" s="17"/>
    </row>
    <row r="2173" spans="1:9" x14ac:dyDescent="0.2">
      <c r="H2173" s="4" t="s">
        <v>95</v>
      </c>
      <c r="I2173" s="13">
        <f>SUM(I2168:I2172)</f>
        <v>0</v>
      </c>
    </row>
    <row r="2177" spans="1:10" ht="15" x14ac:dyDescent="0.25">
      <c r="A2177" s="21" t="s">
        <v>1357</v>
      </c>
      <c r="B2177" s="22"/>
      <c r="C2177" s="22"/>
      <c r="D2177" s="22"/>
      <c r="E2177" s="22"/>
      <c r="F2177" s="22"/>
      <c r="G2177" s="22"/>
      <c r="H2177" s="22"/>
      <c r="I2177" s="22"/>
      <c r="J2177" s="22"/>
    </row>
    <row r="2178" spans="1:10" ht="15" x14ac:dyDescent="0.25">
      <c r="A2178" s="21" t="s">
        <v>1358</v>
      </c>
      <c r="B2178" s="22"/>
      <c r="C2178" s="22"/>
      <c r="D2178" s="22"/>
      <c r="E2178" s="22"/>
      <c r="F2178" s="22"/>
      <c r="G2178" s="22"/>
      <c r="H2178" s="22"/>
      <c r="I2178" s="22"/>
      <c r="J2178" s="22"/>
    </row>
    <row r="2180" spans="1:10" ht="15" x14ac:dyDescent="0.25">
      <c r="A2180" s="3" t="s">
        <v>2</v>
      </c>
      <c r="B2180" s="3" t="s">
        <v>3</v>
      </c>
      <c r="C2180" s="3" t="s">
        <v>4</v>
      </c>
      <c r="D2180" s="3" t="s">
        <v>5</v>
      </c>
      <c r="E2180" s="3" t="s">
        <v>6</v>
      </c>
      <c r="F2180" s="7" t="s">
        <v>7</v>
      </c>
      <c r="G2180" s="3" t="s">
        <v>8</v>
      </c>
      <c r="H2180" s="7" t="s">
        <v>9</v>
      </c>
      <c r="I2180" s="7" t="s">
        <v>10</v>
      </c>
      <c r="J2180" s="3" t="s">
        <v>11</v>
      </c>
    </row>
    <row r="2181" spans="1:10" x14ac:dyDescent="0.2">
      <c r="A2181" s="2" t="s">
        <v>1359</v>
      </c>
      <c r="B2181" s="9">
        <v>1</v>
      </c>
      <c r="C2181" s="9">
        <v>1</v>
      </c>
      <c r="D2181" s="10" t="s">
        <v>13</v>
      </c>
      <c r="E2181" s="11" t="s">
        <v>1304</v>
      </c>
      <c r="F2181" s="12">
        <v>0</v>
      </c>
      <c r="G2181" s="10"/>
      <c r="H2181" s="13"/>
      <c r="I2181" s="6"/>
      <c r="J2181" s="10"/>
    </row>
    <row r="2182" spans="1:10" x14ac:dyDescent="0.2">
      <c r="A2182" s="1" t="s">
        <v>1360</v>
      </c>
      <c r="B2182" s="1"/>
      <c r="C2182" s="1"/>
      <c r="D2182" s="1"/>
      <c r="E2182" s="1"/>
      <c r="F2182" s="1"/>
      <c r="G2182" s="1"/>
      <c r="H2182" s="1" t="s">
        <v>67</v>
      </c>
      <c r="I2182" s="13"/>
      <c r="J2182" s="1"/>
    </row>
    <row r="2190" spans="1:10" ht="15" x14ac:dyDescent="0.25">
      <c r="A2190" s="3" t="s">
        <v>89</v>
      </c>
      <c r="B2190" s="14"/>
      <c r="C2190" s="14"/>
      <c r="D2190" s="14"/>
      <c r="E2190" s="14"/>
      <c r="F2190" s="14"/>
      <c r="G2190" s="14"/>
      <c r="H2190" s="14"/>
      <c r="I2190" s="7" t="s">
        <v>90</v>
      </c>
    </row>
    <row r="2191" spans="1:10" x14ac:dyDescent="0.2">
      <c r="A2191" s="15" t="s">
        <v>1361</v>
      </c>
      <c r="I2191" s="16">
        <f>I2182</f>
        <v>0</v>
      </c>
    </row>
    <row r="2192" spans="1:10" x14ac:dyDescent="0.2">
      <c r="A2192" s="15"/>
      <c r="I2192" s="15"/>
    </row>
    <row r="2193" spans="1:10" x14ac:dyDescent="0.2">
      <c r="A2193" s="17"/>
      <c r="B2193" s="18"/>
      <c r="C2193" s="18"/>
      <c r="D2193" s="18"/>
      <c r="E2193" s="18"/>
      <c r="F2193" s="18"/>
      <c r="G2193" s="18"/>
      <c r="H2193" s="18"/>
      <c r="I2193" s="17"/>
    </row>
    <row r="2194" spans="1:10" x14ac:dyDescent="0.2">
      <c r="H2194" s="4" t="s">
        <v>95</v>
      </c>
      <c r="I2194" s="13">
        <f>SUM(I2191:I2193)</f>
        <v>0</v>
      </c>
    </row>
    <row r="2198" spans="1:10" ht="15" x14ac:dyDescent="0.25">
      <c r="A2198" s="21" t="s">
        <v>1362</v>
      </c>
      <c r="B2198" s="22"/>
      <c r="C2198" s="22"/>
      <c r="D2198" s="22"/>
      <c r="E2198" s="22"/>
      <c r="F2198" s="22"/>
      <c r="G2198" s="22"/>
      <c r="H2198" s="22"/>
      <c r="I2198" s="22"/>
      <c r="J2198" s="22"/>
    </row>
    <row r="2199" spans="1:10" ht="15" x14ac:dyDescent="0.25">
      <c r="A2199" s="21" t="s">
        <v>1363</v>
      </c>
      <c r="B2199" s="22"/>
      <c r="C2199" s="22"/>
      <c r="D2199" s="22"/>
      <c r="E2199" s="22"/>
      <c r="F2199" s="22"/>
      <c r="G2199" s="22"/>
      <c r="H2199" s="22"/>
      <c r="I2199" s="22"/>
      <c r="J2199" s="22"/>
    </row>
    <row r="2201" spans="1:10" ht="15" x14ac:dyDescent="0.25">
      <c r="A2201" s="3" t="s">
        <v>2</v>
      </c>
      <c r="B2201" s="3" t="s">
        <v>3</v>
      </c>
      <c r="C2201" s="3" t="s">
        <v>4</v>
      </c>
      <c r="D2201" s="3" t="s">
        <v>5</v>
      </c>
      <c r="E2201" s="3" t="s">
        <v>6</v>
      </c>
      <c r="F2201" s="7" t="s">
        <v>7</v>
      </c>
      <c r="G2201" s="3" t="s">
        <v>8</v>
      </c>
      <c r="H2201" s="7" t="s">
        <v>9</v>
      </c>
      <c r="I2201" s="7" t="s">
        <v>10</v>
      </c>
      <c r="J2201" s="3" t="s">
        <v>11</v>
      </c>
    </row>
    <row r="2202" spans="1:10" ht="134.25" x14ac:dyDescent="0.2">
      <c r="A2202" s="2" t="s">
        <v>1364</v>
      </c>
      <c r="B2202" s="9">
        <v>1</v>
      </c>
      <c r="C2202" s="9">
        <v>1</v>
      </c>
      <c r="D2202" s="10" t="s">
        <v>13</v>
      </c>
      <c r="E2202" s="11" t="s">
        <v>78</v>
      </c>
      <c r="F2202" s="12">
        <v>10</v>
      </c>
      <c r="G2202" s="10" t="s">
        <v>79</v>
      </c>
      <c r="H2202" s="13"/>
      <c r="I2202" s="13"/>
      <c r="J2202" s="10"/>
    </row>
    <row r="2203" spans="1:10" ht="74.25" x14ac:dyDescent="0.2">
      <c r="A2203" s="2" t="s">
        <v>1364</v>
      </c>
      <c r="B2203" s="9">
        <v>1</v>
      </c>
      <c r="C2203" s="9">
        <v>1</v>
      </c>
      <c r="D2203" s="10" t="s">
        <v>20</v>
      </c>
      <c r="E2203" s="11" t="s">
        <v>85</v>
      </c>
      <c r="F2203" s="12">
        <v>1</v>
      </c>
      <c r="G2203" s="10" t="s">
        <v>15</v>
      </c>
      <c r="H2203" s="13"/>
      <c r="I2203" s="6"/>
      <c r="J2203" s="10"/>
    </row>
    <row r="2204" spans="1:10" x14ac:dyDescent="0.2">
      <c r="A2204" s="2" t="s">
        <v>1364</v>
      </c>
      <c r="B2204" s="9">
        <v>1</v>
      </c>
      <c r="C2204" s="9">
        <v>1</v>
      </c>
      <c r="D2204" s="10" t="s">
        <v>22</v>
      </c>
      <c r="E2204" s="11" t="s">
        <v>86</v>
      </c>
      <c r="F2204" s="12">
        <v>1</v>
      </c>
      <c r="G2204" s="10" t="s">
        <v>15</v>
      </c>
      <c r="H2204" s="13"/>
      <c r="I2204" s="6"/>
      <c r="J2204" s="10"/>
    </row>
    <row r="2205" spans="1:10" ht="44.25" x14ac:dyDescent="0.2">
      <c r="A2205" s="2" t="s">
        <v>1364</v>
      </c>
      <c r="B2205" s="9">
        <v>1</v>
      </c>
      <c r="C2205" s="9">
        <v>1</v>
      </c>
      <c r="D2205" s="10" t="s">
        <v>24</v>
      </c>
      <c r="E2205" s="11" t="s">
        <v>87</v>
      </c>
      <c r="F2205" s="12">
        <v>10</v>
      </c>
      <c r="G2205" s="10" t="s">
        <v>79</v>
      </c>
      <c r="H2205" s="13"/>
      <c r="I2205" s="13"/>
      <c r="J2205" s="10"/>
    </row>
    <row r="2206" spans="1:10" ht="74.25" x14ac:dyDescent="0.2">
      <c r="A2206" s="2" t="s">
        <v>1364</v>
      </c>
      <c r="B2206" s="9">
        <v>1</v>
      </c>
      <c r="C2206" s="9">
        <v>1</v>
      </c>
      <c r="D2206" s="10" t="s">
        <v>27</v>
      </c>
      <c r="E2206" s="11" t="s">
        <v>1365</v>
      </c>
      <c r="F2206" s="12">
        <v>1</v>
      </c>
      <c r="G2206" s="10" t="s">
        <v>79</v>
      </c>
      <c r="H2206" s="13"/>
      <c r="I2206" s="13"/>
      <c r="J2206" s="10"/>
    </row>
    <row r="2207" spans="1:10" x14ac:dyDescent="0.2">
      <c r="A2207" s="2" t="s">
        <v>1364</v>
      </c>
      <c r="B2207" s="9">
        <v>1</v>
      </c>
      <c r="C2207" s="9">
        <v>1</v>
      </c>
      <c r="D2207" s="10" t="s">
        <v>29</v>
      </c>
      <c r="E2207" s="11" t="s">
        <v>1366</v>
      </c>
      <c r="F2207" s="12">
        <v>20</v>
      </c>
      <c r="G2207" s="10" t="s">
        <v>79</v>
      </c>
      <c r="H2207" s="13"/>
      <c r="I2207" s="13"/>
      <c r="J2207" s="10"/>
    </row>
    <row r="2208" spans="1:10" ht="58.5" x14ac:dyDescent="0.2">
      <c r="A2208" s="2" t="s">
        <v>1364</v>
      </c>
      <c r="B2208" s="9">
        <v>1</v>
      </c>
      <c r="C2208" s="9">
        <v>1</v>
      </c>
      <c r="D2208" s="10" t="s">
        <v>32</v>
      </c>
      <c r="E2208" s="11" t="s">
        <v>1367</v>
      </c>
      <c r="F2208" s="12">
        <v>50</v>
      </c>
      <c r="G2208" s="10" t="s">
        <v>79</v>
      </c>
      <c r="H2208" s="13"/>
      <c r="I2208" s="13"/>
      <c r="J2208" s="10"/>
    </row>
    <row r="2209" spans="1:10" x14ac:dyDescent="0.2">
      <c r="A2209" s="1" t="s">
        <v>1368</v>
      </c>
      <c r="B2209" s="1"/>
      <c r="C2209" s="1"/>
      <c r="D2209" s="1"/>
      <c r="E2209" s="1"/>
      <c r="F2209" s="1"/>
      <c r="G2209" s="1"/>
      <c r="H2209" s="1" t="s">
        <v>67</v>
      </c>
      <c r="I2209" s="13">
        <f>I2202+I2205+I2206+I2207+I2208</f>
        <v>0</v>
      </c>
      <c r="J2209" s="1"/>
    </row>
    <row r="2212" spans="1:10" ht="15" x14ac:dyDescent="0.25">
      <c r="A2212" s="21" t="s">
        <v>1369</v>
      </c>
      <c r="B2212" s="22"/>
      <c r="C2212" s="22"/>
      <c r="D2212" s="22"/>
      <c r="E2212" s="22"/>
      <c r="F2212" s="22"/>
      <c r="G2212" s="22"/>
      <c r="H2212" s="22"/>
      <c r="I2212" s="22"/>
      <c r="J2212" s="22"/>
    </row>
    <row r="2213" spans="1:10" ht="15" x14ac:dyDescent="0.25">
      <c r="A2213" s="21" t="s">
        <v>1363</v>
      </c>
      <c r="B2213" s="22"/>
      <c r="C2213" s="22"/>
      <c r="D2213" s="22"/>
      <c r="E2213" s="22"/>
      <c r="F2213" s="22"/>
      <c r="G2213" s="22"/>
      <c r="H2213" s="22"/>
      <c r="I2213" s="22"/>
      <c r="J2213" s="22"/>
    </row>
    <row r="2215" spans="1:10" ht="15" x14ac:dyDescent="0.25">
      <c r="A2215" s="3" t="s">
        <v>2</v>
      </c>
      <c r="B2215" s="3" t="s">
        <v>3</v>
      </c>
      <c r="C2215" s="3" t="s">
        <v>4</v>
      </c>
      <c r="D2215" s="3" t="s">
        <v>5</v>
      </c>
      <c r="E2215" s="3" t="s">
        <v>6</v>
      </c>
      <c r="F2215" s="7" t="s">
        <v>7</v>
      </c>
      <c r="G2215" s="3" t="s">
        <v>8</v>
      </c>
      <c r="H2215" s="7" t="s">
        <v>9</v>
      </c>
      <c r="I2215" s="7" t="s">
        <v>10</v>
      </c>
      <c r="J2215" s="3" t="s">
        <v>11</v>
      </c>
    </row>
    <row r="2216" spans="1:10" ht="74.25" x14ac:dyDescent="0.2">
      <c r="A2216" s="2" t="s">
        <v>1364</v>
      </c>
      <c r="B2216" s="9">
        <v>1</v>
      </c>
      <c r="C2216" s="9">
        <v>2</v>
      </c>
      <c r="D2216" s="10" t="s">
        <v>13</v>
      </c>
      <c r="E2216" s="11" t="s">
        <v>1370</v>
      </c>
      <c r="F2216" s="12">
        <v>425</v>
      </c>
      <c r="G2216" s="10" t="s">
        <v>109</v>
      </c>
      <c r="H2216" s="13"/>
      <c r="I2216" s="13"/>
      <c r="J2216" s="10"/>
    </row>
    <row r="2217" spans="1:10" x14ac:dyDescent="0.2">
      <c r="A2217" s="2" t="s">
        <v>1364</v>
      </c>
      <c r="B2217" s="9">
        <v>1</v>
      </c>
      <c r="C2217" s="9">
        <v>2</v>
      </c>
      <c r="D2217" s="10" t="s">
        <v>16</v>
      </c>
      <c r="E2217" s="11" t="s">
        <v>1371</v>
      </c>
      <c r="F2217" s="12">
        <v>2</v>
      </c>
      <c r="G2217" s="10" t="s">
        <v>109</v>
      </c>
      <c r="H2217" s="13"/>
      <c r="I2217" s="13"/>
      <c r="J2217" s="10"/>
    </row>
    <row r="2218" spans="1:10" x14ac:dyDescent="0.2">
      <c r="A2218" s="2" t="s">
        <v>1364</v>
      </c>
      <c r="B2218" s="9">
        <v>1</v>
      </c>
      <c r="C2218" s="9">
        <v>2</v>
      </c>
      <c r="D2218" s="10" t="s">
        <v>18</v>
      </c>
      <c r="E2218" s="11" t="s">
        <v>1256</v>
      </c>
      <c r="F2218" s="12">
        <v>90</v>
      </c>
      <c r="G2218" s="10" t="s">
        <v>109</v>
      </c>
      <c r="H2218" s="13"/>
      <c r="I2218" s="13"/>
      <c r="J2218" s="10"/>
    </row>
    <row r="2219" spans="1:10" x14ac:dyDescent="0.2">
      <c r="A2219" s="1" t="s">
        <v>1372</v>
      </c>
      <c r="B2219" s="1"/>
      <c r="C2219" s="1"/>
      <c r="D2219" s="1"/>
      <c r="E2219" s="1"/>
      <c r="F2219" s="1"/>
      <c r="G2219" s="1"/>
      <c r="H2219" s="1" t="s">
        <v>67</v>
      </c>
      <c r="I2219" s="13">
        <f>I2216+I2217+I2218</f>
        <v>0</v>
      </c>
      <c r="J2219" s="1"/>
    </row>
    <row r="2227" spans="1:10" ht="15" x14ac:dyDescent="0.25">
      <c r="A2227" s="3" t="s">
        <v>89</v>
      </c>
      <c r="B2227" s="14"/>
      <c r="C2227" s="14"/>
      <c r="D2227" s="14"/>
      <c r="E2227" s="14"/>
      <c r="F2227" s="14"/>
      <c r="G2227" s="14"/>
      <c r="H2227" s="14"/>
      <c r="I2227" s="7" t="s">
        <v>90</v>
      </c>
    </row>
    <row r="2228" spans="1:10" x14ac:dyDescent="0.2">
      <c r="A2228" s="15" t="s">
        <v>1373</v>
      </c>
      <c r="I2228" s="16">
        <f>I2209</f>
        <v>0</v>
      </c>
    </row>
    <row r="2229" spans="1:10" x14ac:dyDescent="0.2">
      <c r="A2229" s="15" t="s">
        <v>1374</v>
      </c>
      <c r="I2229" s="16">
        <f>I2219</f>
        <v>0</v>
      </c>
    </row>
    <row r="2230" spans="1:10" x14ac:dyDescent="0.2">
      <c r="A2230" s="15"/>
      <c r="I2230" s="15"/>
    </row>
    <row r="2231" spans="1:10" x14ac:dyDescent="0.2">
      <c r="A2231" s="17"/>
      <c r="B2231" s="18"/>
      <c r="C2231" s="18"/>
      <c r="D2231" s="18"/>
      <c r="E2231" s="18"/>
      <c r="F2231" s="18"/>
      <c r="G2231" s="18"/>
      <c r="H2231" s="18"/>
      <c r="I2231" s="17"/>
    </row>
    <row r="2232" spans="1:10" x14ac:dyDescent="0.2">
      <c r="H2232" s="4" t="s">
        <v>95</v>
      </c>
      <c r="I2232" s="13">
        <f>SUM(I2228:I2231)</f>
        <v>0</v>
      </c>
    </row>
    <row r="2236" spans="1:10" ht="15" x14ac:dyDescent="0.25">
      <c r="A2236" s="21" t="s">
        <v>1375</v>
      </c>
      <c r="B2236" s="22"/>
      <c r="C2236" s="22"/>
      <c r="D2236" s="22"/>
      <c r="E2236" s="22"/>
      <c r="F2236" s="22"/>
      <c r="G2236" s="22"/>
      <c r="H2236" s="22"/>
      <c r="I2236" s="22"/>
      <c r="J2236" s="22"/>
    </row>
    <row r="2237" spans="1:10" ht="15" x14ac:dyDescent="0.25">
      <c r="A2237" s="21" t="s">
        <v>1376</v>
      </c>
      <c r="B2237" s="22"/>
      <c r="C2237" s="22"/>
      <c r="D2237" s="22"/>
      <c r="E2237" s="22"/>
      <c r="F2237" s="22"/>
      <c r="G2237" s="22"/>
      <c r="H2237" s="22"/>
      <c r="I2237" s="22"/>
      <c r="J2237" s="22"/>
    </row>
    <row r="2239" spans="1:10" ht="15" x14ac:dyDescent="0.25">
      <c r="A2239" s="3" t="s">
        <v>2</v>
      </c>
      <c r="B2239" s="3" t="s">
        <v>3</v>
      </c>
      <c r="C2239" s="3" t="s">
        <v>4</v>
      </c>
      <c r="D2239" s="3" t="s">
        <v>5</v>
      </c>
      <c r="E2239" s="3" t="s">
        <v>6</v>
      </c>
      <c r="F2239" s="7" t="s">
        <v>7</v>
      </c>
      <c r="G2239" s="3" t="s">
        <v>8</v>
      </c>
      <c r="H2239" s="7" t="s">
        <v>9</v>
      </c>
      <c r="I2239" s="7" t="s">
        <v>10</v>
      </c>
      <c r="J2239" s="3" t="s">
        <v>11</v>
      </c>
    </row>
    <row r="2240" spans="1:10" ht="134.25" x14ac:dyDescent="0.2">
      <c r="A2240" s="2" t="s">
        <v>1377</v>
      </c>
      <c r="B2240" s="9">
        <v>1</v>
      </c>
      <c r="C2240" s="9">
        <v>1</v>
      </c>
      <c r="D2240" s="10" t="s">
        <v>13</v>
      </c>
      <c r="E2240" s="11" t="s">
        <v>1318</v>
      </c>
      <c r="F2240" s="12">
        <v>1</v>
      </c>
      <c r="G2240" s="10" t="s">
        <v>79</v>
      </c>
      <c r="H2240" s="13"/>
      <c r="I2240" s="13"/>
      <c r="J2240" s="10"/>
    </row>
    <row r="2241" spans="1:10" ht="44.25" x14ac:dyDescent="0.2">
      <c r="A2241" s="2" t="s">
        <v>1377</v>
      </c>
      <c r="B2241" s="9">
        <v>1</v>
      </c>
      <c r="C2241" s="9">
        <v>1</v>
      </c>
      <c r="D2241" s="10" t="s">
        <v>16</v>
      </c>
      <c r="E2241" s="11" t="s">
        <v>1319</v>
      </c>
      <c r="F2241" s="12">
        <v>41</v>
      </c>
      <c r="G2241" s="10" t="s">
        <v>79</v>
      </c>
      <c r="H2241" s="13"/>
      <c r="I2241" s="13"/>
      <c r="J2241" s="10"/>
    </row>
    <row r="2242" spans="1:10" ht="74.25" x14ac:dyDescent="0.2">
      <c r="A2242" s="2" t="s">
        <v>1377</v>
      </c>
      <c r="B2242" s="9">
        <v>1</v>
      </c>
      <c r="C2242" s="9">
        <v>1</v>
      </c>
      <c r="D2242" s="10" t="s">
        <v>18</v>
      </c>
      <c r="E2242" s="11" t="s">
        <v>1225</v>
      </c>
      <c r="F2242" s="12">
        <v>93</v>
      </c>
      <c r="G2242" s="10" t="s">
        <v>109</v>
      </c>
      <c r="H2242" s="13"/>
      <c r="I2242" s="13"/>
      <c r="J2242" s="10"/>
    </row>
    <row r="2243" spans="1:10" ht="44.25" x14ac:dyDescent="0.2">
      <c r="A2243" s="2" t="s">
        <v>1377</v>
      </c>
      <c r="B2243" s="9">
        <v>1</v>
      </c>
      <c r="C2243" s="9">
        <v>1</v>
      </c>
      <c r="D2243" s="10" t="s">
        <v>20</v>
      </c>
      <c r="E2243" s="11" t="s">
        <v>1240</v>
      </c>
      <c r="F2243" s="12">
        <v>93</v>
      </c>
      <c r="G2243" s="10" t="s">
        <v>109</v>
      </c>
      <c r="H2243" s="13"/>
      <c r="I2243" s="13"/>
      <c r="J2243" s="10"/>
    </row>
    <row r="2244" spans="1:10" ht="194.25" x14ac:dyDescent="0.2">
      <c r="A2244" s="2" t="s">
        <v>1377</v>
      </c>
      <c r="B2244" s="9">
        <v>1</v>
      </c>
      <c r="C2244" s="9">
        <v>1</v>
      </c>
      <c r="D2244" s="10" t="s">
        <v>22</v>
      </c>
      <c r="E2244" s="11" t="s">
        <v>1320</v>
      </c>
      <c r="F2244" s="12">
        <v>62</v>
      </c>
      <c r="G2244" s="10" t="s">
        <v>83</v>
      </c>
      <c r="H2244" s="13"/>
      <c r="I2244" s="13"/>
      <c r="J2244" s="10"/>
    </row>
    <row r="2245" spans="1:10" x14ac:dyDescent="0.2">
      <c r="A2245" s="1" t="s">
        <v>1378</v>
      </c>
      <c r="B2245" s="1"/>
      <c r="C2245" s="1"/>
      <c r="D2245" s="1"/>
      <c r="E2245" s="1"/>
      <c r="F2245" s="1"/>
      <c r="G2245" s="1"/>
      <c r="H2245" s="1" t="s">
        <v>67</v>
      </c>
      <c r="I2245" s="13">
        <f>I2240+I2241+I2242+I2243+I2244</f>
        <v>0</v>
      </c>
      <c r="J2245" s="1"/>
    </row>
    <row r="2248" spans="1:10" ht="15" x14ac:dyDescent="0.25">
      <c r="A2248" s="21" t="s">
        <v>1379</v>
      </c>
      <c r="B2248" s="22"/>
      <c r="C2248" s="22"/>
      <c r="D2248" s="22"/>
      <c r="E2248" s="22"/>
      <c r="F2248" s="22"/>
      <c r="G2248" s="22"/>
      <c r="H2248" s="22"/>
      <c r="I2248" s="22"/>
      <c r="J2248" s="22"/>
    </row>
    <row r="2249" spans="1:10" ht="15" x14ac:dyDescent="0.25">
      <c r="A2249" s="21" t="s">
        <v>1376</v>
      </c>
      <c r="B2249" s="22"/>
      <c r="C2249" s="22"/>
      <c r="D2249" s="22"/>
      <c r="E2249" s="22"/>
      <c r="F2249" s="22"/>
      <c r="G2249" s="22"/>
      <c r="H2249" s="22"/>
      <c r="I2249" s="22"/>
      <c r="J2249" s="22"/>
    </row>
    <row r="2251" spans="1:10" ht="15" x14ac:dyDescent="0.25">
      <c r="A2251" s="3" t="s">
        <v>2</v>
      </c>
      <c r="B2251" s="3" t="s">
        <v>3</v>
      </c>
      <c r="C2251" s="3" t="s">
        <v>4</v>
      </c>
      <c r="D2251" s="3" t="s">
        <v>5</v>
      </c>
      <c r="E2251" s="3" t="s">
        <v>6</v>
      </c>
      <c r="F2251" s="7" t="s">
        <v>7</v>
      </c>
      <c r="G2251" s="3" t="s">
        <v>8</v>
      </c>
      <c r="H2251" s="7" t="s">
        <v>9</v>
      </c>
      <c r="I2251" s="7" t="s">
        <v>10</v>
      </c>
      <c r="J2251" s="3" t="s">
        <v>11</v>
      </c>
    </row>
    <row r="2252" spans="1:10" ht="104.25" x14ac:dyDescent="0.2">
      <c r="A2252" s="2" t="s">
        <v>1377</v>
      </c>
      <c r="B2252" s="9">
        <v>1</v>
      </c>
      <c r="C2252" s="9">
        <v>2</v>
      </c>
      <c r="D2252" s="10" t="s">
        <v>13</v>
      </c>
      <c r="E2252" s="11" t="s">
        <v>1250</v>
      </c>
      <c r="F2252" s="12">
        <v>6</v>
      </c>
      <c r="G2252" s="10" t="s">
        <v>79</v>
      </c>
      <c r="H2252" s="13"/>
      <c r="I2252" s="13"/>
      <c r="J2252" s="10"/>
    </row>
    <row r="2253" spans="1:10" x14ac:dyDescent="0.2">
      <c r="A2253" s="2" t="s">
        <v>1377</v>
      </c>
      <c r="B2253" s="9">
        <v>1</v>
      </c>
      <c r="C2253" s="9">
        <v>2</v>
      </c>
      <c r="D2253" s="10" t="s">
        <v>16</v>
      </c>
      <c r="E2253" s="11" t="s">
        <v>1251</v>
      </c>
      <c r="F2253" s="12">
        <v>35</v>
      </c>
      <c r="G2253" s="10" t="s">
        <v>79</v>
      </c>
      <c r="H2253" s="13"/>
      <c r="I2253" s="13"/>
      <c r="J2253" s="10"/>
    </row>
    <row r="2254" spans="1:10" x14ac:dyDescent="0.2">
      <c r="A2254" s="2" t="s">
        <v>1377</v>
      </c>
      <c r="B2254" s="9">
        <v>1</v>
      </c>
      <c r="C2254" s="9">
        <v>2</v>
      </c>
      <c r="D2254" s="10" t="s">
        <v>18</v>
      </c>
      <c r="E2254" s="11" t="s">
        <v>1380</v>
      </c>
      <c r="F2254" s="12">
        <v>19</v>
      </c>
      <c r="G2254" s="10" t="s">
        <v>79</v>
      </c>
      <c r="H2254" s="13"/>
      <c r="I2254" s="13"/>
      <c r="J2254" s="10"/>
    </row>
    <row r="2255" spans="1:10" ht="74.25" x14ac:dyDescent="0.2">
      <c r="A2255" s="2" t="s">
        <v>1377</v>
      </c>
      <c r="B2255" s="9">
        <v>1</v>
      </c>
      <c r="C2255" s="9">
        <v>2</v>
      </c>
      <c r="D2255" s="10" t="s">
        <v>20</v>
      </c>
      <c r="E2255" s="11" t="s">
        <v>1254</v>
      </c>
      <c r="F2255" s="12">
        <v>111.00000000000001</v>
      </c>
      <c r="G2255" s="10" t="s">
        <v>109</v>
      </c>
      <c r="H2255" s="13"/>
      <c r="I2255" s="13"/>
      <c r="J2255" s="10"/>
    </row>
    <row r="2256" spans="1:10" x14ac:dyDescent="0.2">
      <c r="A2256" s="2" t="s">
        <v>1377</v>
      </c>
      <c r="B2256" s="9">
        <v>1</v>
      </c>
      <c r="C2256" s="9">
        <v>2</v>
      </c>
      <c r="D2256" s="10" t="s">
        <v>22</v>
      </c>
      <c r="E2256" s="11" t="s">
        <v>1255</v>
      </c>
      <c r="F2256" s="12">
        <v>425</v>
      </c>
      <c r="G2256" s="10" t="s">
        <v>109</v>
      </c>
      <c r="H2256" s="13"/>
      <c r="I2256" s="13"/>
      <c r="J2256" s="10"/>
    </row>
    <row r="2257" spans="1:10" x14ac:dyDescent="0.2">
      <c r="A2257" s="2" t="s">
        <v>1377</v>
      </c>
      <c r="B2257" s="9">
        <v>1</v>
      </c>
      <c r="C2257" s="9">
        <v>2</v>
      </c>
      <c r="D2257" s="10" t="s">
        <v>24</v>
      </c>
      <c r="E2257" s="11" t="s">
        <v>1256</v>
      </c>
      <c r="F2257" s="12">
        <v>425</v>
      </c>
      <c r="G2257" s="10" t="s">
        <v>109</v>
      </c>
      <c r="H2257" s="13"/>
      <c r="I2257" s="13"/>
      <c r="J2257" s="10"/>
    </row>
    <row r="2258" spans="1:10" ht="149.25" x14ac:dyDescent="0.2">
      <c r="A2258" s="2" t="s">
        <v>1377</v>
      </c>
      <c r="B2258" s="9">
        <v>1</v>
      </c>
      <c r="C2258" s="9">
        <v>2</v>
      </c>
      <c r="D2258" s="10" t="s">
        <v>27</v>
      </c>
      <c r="E2258" s="11" t="s">
        <v>1381</v>
      </c>
      <c r="F2258" s="12">
        <v>314.00000000000006</v>
      </c>
      <c r="G2258" s="10" t="s">
        <v>109</v>
      </c>
      <c r="H2258" s="13"/>
      <c r="I2258" s="13"/>
      <c r="J2258" s="10"/>
    </row>
    <row r="2259" spans="1:10" ht="119.25" x14ac:dyDescent="0.2">
      <c r="A2259" s="2" t="s">
        <v>1377</v>
      </c>
      <c r="B2259" s="9">
        <v>1</v>
      </c>
      <c r="C2259" s="9">
        <v>2</v>
      </c>
      <c r="D2259" s="10" t="s">
        <v>29</v>
      </c>
      <c r="E2259" s="11" t="s">
        <v>1382</v>
      </c>
      <c r="F2259" s="12">
        <v>111.00000000000001</v>
      </c>
      <c r="G2259" s="10" t="s">
        <v>109</v>
      </c>
      <c r="H2259" s="13"/>
      <c r="I2259" s="13"/>
      <c r="J2259" s="10"/>
    </row>
    <row r="2260" spans="1:10" x14ac:dyDescent="0.2">
      <c r="A2260" s="1" t="s">
        <v>1383</v>
      </c>
      <c r="B2260" s="1"/>
      <c r="C2260" s="1"/>
      <c r="D2260" s="1"/>
      <c r="E2260" s="1"/>
      <c r="F2260" s="1"/>
      <c r="G2260" s="1"/>
      <c r="H2260" s="1" t="s">
        <v>67</v>
      </c>
      <c r="I2260" s="13">
        <f>I2252+I2253+I2254+I2255+I2256+I2257+I2258+I2259</f>
        <v>0</v>
      </c>
      <c r="J2260" s="1"/>
    </row>
    <row r="2263" spans="1:10" ht="15" x14ac:dyDescent="0.25">
      <c r="A2263" s="21" t="s">
        <v>1384</v>
      </c>
      <c r="B2263" s="22"/>
      <c r="C2263" s="22"/>
      <c r="D2263" s="22"/>
      <c r="E2263" s="22"/>
      <c r="F2263" s="22"/>
      <c r="G2263" s="22"/>
      <c r="H2263" s="22"/>
      <c r="I2263" s="22"/>
      <c r="J2263" s="22"/>
    </row>
    <row r="2264" spans="1:10" ht="15" x14ac:dyDescent="0.25">
      <c r="A2264" s="21" t="s">
        <v>1376</v>
      </c>
      <c r="B2264" s="22"/>
      <c r="C2264" s="22"/>
      <c r="D2264" s="22"/>
      <c r="E2264" s="22"/>
      <c r="F2264" s="22"/>
      <c r="G2264" s="22"/>
      <c r="H2264" s="22"/>
      <c r="I2264" s="22"/>
      <c r="J2264" s="22"/>
    </row>
    <row r="2266" spans="1:10" ht="15" x14ac:dyDescent="0.25">
      <c r="A2266" s="3" t="s">
        <v>2</v>
      </c>
      <c r="B2266" s="3" t="s">
        <v>3</v>
      </c>
      <c r="C2266" s="3" t="s">
        <v>4</v>
      </c>
      <c r="D2266" s="3" t="s">
        <v>5</v>
      </c>
      <c r="E2266" s="3" t="s">
        <v>6</v>
      </c>
      <c r="F2266" s="7" t="s">
        <v>7</v>
      </c>
      <c r="G2266" s="3" t="s">
        <v>8</v>
      </c>
      <c r="H2266" s="7" t="s">
        <v>9</v>
      </c>
      <c r="I2266" s="7" t="s">
        <v>10</v>
      </c>
      <c r="J2266" s="3" t="s">
        <v>11</v>
      </c>
    </row>
    <row r="2267" spans="1:10" ht="104.25" x14ac:dyDescent="0.2">
      <c r="A2267" s="2" t="s">
        <v>1377</v>
      </c>
      <c r="B2267" s="9">
        <v>1</v>
      </c>
      <c r="C2267" s="9">
        <v>3</v>
      </c>
      <c r="D2267" s="10" t="s">
        <v>13</v>
      </c>
      <c r="E2267" s="11" t="s">
        <v>1268</v>
      </c>
      <c r="F2267" s="12">
        <v>2</v>
      </c>
      <c r="G2267" s="10" t="s">
        <v>109</v>
      </c>
      <c r="H2267" s="13"/>
      <c r="I2267" s="6"/>
      <c r="J2267" s="10"/>
    </row>
    <row r="2268" spans="1:10" ht="74.25" x14ac:dyDescent="0.2">
      <c r="A2268" s="2" t="s">
        <v>1377</v>
      </c>
      <c r="B2268" s="9">
        <v>1</v>
      </c>
      <c r="C2268" s="9">
        <v>3</v>
      </c>
      <c r="D2268" s="10" t="s">
        <v>16</v>
      </c>
      <c r="E2268" s="11" t="s">
        <v>1271</v>
      </c>
      <c r="F2268" s="12">
        <v>2</v>
      </c>
      <c r="G2268" s="10" t="s">
        <v>109</v>
      </c>
      <c r="H2268" s="13"/>
      <c r="I2268" s="6"/>
      <c r="J2268" s="10"/>
    </row>
    <row r="2269" spans="1:10" ht="74.25" x14ac:dyDescent="0.2">
      <c r="A2269" s="2" t="s">
        <v>1377</v>
      </c>
      <c r="B2269" s="9">
        <v>1</v>
      </c>
      <c r="C2269" s="9">
        <v>3</v>
      </c>
      <c r="D2269" s="10" t="s">
        <v>18</v>
      </c>
      <c r="E2269" s="11" t="s">
        <v>1272</v>
      </c>
      <c r="F2269" s="12">
        <v>2</v>
      </c>
      <c r="G2269" s="10" t="s">
        <v>109</v>
      </c>
      <c r="H2269" s="13"/>
      <c r="I2269" s="6"/>
      <c r="J2269" s="10"/>
    </row>
    <row r="2270" spans="1:10" ht="74.25" x14ac:dyDescent="0.2">
      <c r="A2270" s="2" t="s">
        <v>1377</v>
      </c>
      <c r="B2270" s="9">
        <v>1</v>
      </c>
      <c r="C2270" s="9">
        <v>3</v>
      </c>
      <c r="D2270" s="10" t="s">
        <v>20</v>
      </c>
      <c r="E2270" s="11" t="s">
        <v>1273</v>
      </c>
      <c r="F2270" s="12">
        <v>1</v>
      </c>
      <c r="G2270" s="10" t="s">
        <v>15</v>
      </c>
      <c r="H2270" s="13"/>
      <c r="I2270" s="6"/>
      <c r="J2270" s="10"/>
    </row>
    <row r="2271" spans="1:10" ht="104.25" x14ac:dyDescent="0.2">
      <c r="A2271" s="2" t="s">
        <v>1377</v>
      </c>
      <c r="B2271" s="9">
        <v>1</v>
      </c>
      <c r="C2271" s="9">
        <v>3</v>
      </c>
      <c r="D2271" s="10" t="s">
        <v>22</v>
      </c>
      <c r="E2271" s="11" t="s">
        <v>1274</v>
      </c>
      <c r="F2271" s="12">
        <v>91</v>
      </c>
      <c r="G2271" s="10" t="s">
        <v>109</v>
      </c>
      <c r="H2271" s="13"/>
      <c r="I2271" s="6"/>
      <c r="J2271" s="10"/>
    </row>
    <row r="2272" spans="1:10" x14ac:dyDescent="0.2">
      <c r="A2272" s="2" t="s">
        <v>1377</v>
      </c>
      <c r="B2272" s="9">
        <v>1</v>
      </c>
      <c r="C2272" s="9">
        <v>3</v>
      </c>
      <c r="D2272" s="10" t="s">
        <v>24</v>
      </c>
      <c r="E2272" s="11" t="s">
        <v>1385</v>
      </c>
      <c r="F2272" s="12">
        <v>2</v>
      </c>
      <c r="G2272" s="10" t="s">
        <v>109</v>
      </c>
      <c r="H2272" s="13"/>
      <c r="I2272" s="6"/>
      <c r="J2272" s="10"/>
    </row>
    <row r="2273" spans="1:10" ht="74.25" x14ac:dyDescent="0.2">
      <c r="A2273" s="2" t="s">
        <v>1377</v>
      </c>
      <c r="B2273" s="9">
        <v>1</v>
      </c>
      <c r="C2273" s="9">
        <v>3</v>
      </c>
      <c r="D2273" s="10" t="s">
        <v>27</v>
      </c>
      <c r="E2273" s="11" t="s">
        <v>1271</v>
      </c>
      <c r="F2273" s="12">
        <v>91</v>
      </c>
      <c r="G2273" s="10" t="s">
        <v>109</v>
      </c>
      <c r="H2273" s="13"/>
      <c r="I2273" s="6"/>
      <c r="J2273" s="10"/>
    </row>
    <row r="2274" spans="1:10" x14ac:dyDescent="0.2">
      <c r="A2274" s="1" t="s">
        <v>1386</v>
      </c>
      <c r="B2274" s="1"/>
      <c r="C2274" s="1"/>
      <c r="D2274" s="1"/>
      <c r="E2274" s="1"/>
      <c r="F2274" s="1"/>
      <c r="G2274" s="1"/>
      <c r="H2274" s="1" t="s">
        <v>67</v>
      </c>
      <c r="I2274" s="13"/>
      <c r="J2274" s="1"/>
    </row>
    <row r="2277" spans="1:10" ht="15" x14ac:dyDescent="0.25">
      <c r="A2277" s="21" t="s">
        <v>1387</v>
      </c>
      <c r="B2277" s="22"/>
      <c r="C2277" s="22"/>
      <c r="D2277" s="22"/>
      <c r="E2277" s="22"/>
      <c r="F2277" s="22"/>
      <c r="G2277" s="22"/>
      <c r="H2277" s="22"/>
      <c r="I2277" s="22"/>
      <c r="J2277" s="22"/>
    </row>
    <row r="2278" spans="1:10" ht="15" x14ac:dyDescent="0.25">
      <c r="A2278" s="21" t="s">
        <v>1376</v>
      </c>
      <c r="B2278" s="22"/>
      <c r="C2278" s="22"/>
      <c r="D2278" s="22"/>
      <c r="E2278" s="22"/>
      <c r="F2278" s="22"/>
      <c r="G2278" s="22"/>
      <c r="H2278" s="22"/>
      <c r="I2278" s="22"/>
      <c r="J2278" s="22"/>
    </row>
    <row r="2280" spans="1:10" ht="15" x14ac:dyDescent="0.25">
      <c r="A2280" s="3" t="s">
        <v>2</v>
      </c>
      <c r="B2280" s="3" t="s">
        <v>3</v>
      </c>
      <c r="C2280" s="3" t="s">
        <v>4</v>
      </c>
      <c r="D2280" s="3" t="s">
        <v>5</v>
      </c>
      <c r="E2280" s="3" t="s">
        <v>6</v>
      </c>
      <c r="F2280" s="7" t="s">
        <v>7</v>
      </c>
      <c r="G2280" s="3" t="s">
        <v>8</v>
      </c>
      <c r="H2280" s="7" t="s">
        <v>9</v>
      </c>
      <c r="I2280" s="7" t="s">
        <v>10</v>
      </c>
      <c r="J2280" s="3" t="s">
        <v>11</v>
      </c>
    </row>
    <row r="2281" spans="1:10" ht="74.25" x14ac:dyDescent="0.2">
      <c r="A2281" s="2" t="s">
        <v>1377</v>
      </c>
      <c r="B2281" s="9">
        <v>1</v>
      </c>
      <c r="C2281" s="9">
        <v>4</v>
      </c>
      <c r="D2281" s="10" t="s">
        <v>13</v>
      </c>
      <c r="E2281" s="11" t="s">
        <v>1276</v>
      </c>
      <c r="F2281" s="12">
        <v>28.000000000000004</v>
      </c>
      <c r="G2281" s="10" t="s">
        <v>109</v>
      </c>
      <c r="H2281" s="13"/>
      <c r="I2281" s="6"/>
      <c r="J2281" s="10"/>
    </row>
    <row r="2282" spans="1:10" ht="44.25" x14ac:dyDescent="0.2">
      <c r="A2282" s="2" t="s">
        <v>1377</v>
      </c>
      <c r="B2282" s="9">
        <v>1</v>
      </c>
      <c r="C2282" s="9">
        <v>4</v>
      </c>
      <c r="D2282" s="10" t="s">
        <v>16</v>
      </c>
      <c r="E2282" s="11" t="s">
        <v>1328</v>
      </c>
      <c r="F2282" s="12">
        <v>63</v>
      </c>
      <c r="G2282" s="10" t="s">
        <v>109</v>
      </c>
      <c r="H2282" s="13"/>
      <c r="I2282" s="6"/>
      <c r="J2282" s="10"/>
    </row>
    <row r="2283" spans="1:10" ht="74.25" x14ac:dyDescent="0.2">
      <c r="A2283" s="2" t="s">
        <v>1377</v>
      </c>
      <c r="B2283" s="9">
        <v>1</v>
      </c>
      <c r="C2283" s="9">
        <v>4</v>
      </c>
      <c r="D2283" s="10" t="s">
        <v>18</v>
      </c>
      <c r="E2283" s="11" t="s">
        <v>1281</v>
      </c>
      <c r="F2283" s="12">
        <v>91</v>
      </c>
      <c r="G2283" s="10" t="s">
        <v>109</v>
      </c>
      <c r="H2283" s="13"/>
      <c r="I2283" s="6"/>
      <c r="J2283" s="10"/>
    </row>
    <row r="2284" spans="1:10" ht="74.25" x14ac:dyDescent="0.2">
      <c r="A2284" s="2" t="s">
        <v>1377</v>
      </c>
      <c r="B2284" s="9">
        <v>1</v>
      </c>
      <c r="C2284" s="9">
        <v>4</v>
      </c>
      <c r="D2284" s="10" t="s">
        <v>20</v>
      </c>
      <c r="E2284" s="11" t="s">
        <v>1284</v>
      </c>
      <c r="F2284" s="12">
        <v>1</v>
      </c>
      <c r="G2284" s="10" t="s">
        <v>15</v>
      </c>
      <c r="H2284" s="13"/>
      <c r="I2284" s="6"/>
      <c r="J2284" s="10"/>
    </row>
    <row r="2285" spans="1:10" ht="149.25" x14ac:dyDescent="0.2">
      <c r="A2285" s="2" t="s">
        <v>1377</v>
      </c>
      <c r="B2285" s="9">
        <v>1</v>
      </c>
      <c r="C2285" s="9">
        <v>4</v>
      </c>
      <c r="D2285" s="10" t="s">
        <v>22</v>
      </c>
      <c r="E2285" s="11" t="s">
        <v>1388</v>
      </c>
      <c r="F2285" s="12">
        <v>26</v>
      </c>
      <c r="G2285" s="10" t="s">
        <v>83</v>
      </c>
      <c r="H2285" s="13"/>
      <c r="I2285" s="13"/>
      <c r="J2285" s="10"/>
    </row>
    <row r="2286" spans="1:10" ht="134.25" x14ac:dyDescent="0.2">
      <c r="A2286" s="2" t="s">
        <v>1377</v>
      </c>
      <c r="B2286" s="9">
        <v>1</v>
      </c>
      <c r="C2286" s="9">
        <v>4</v>
      </c>
      <c r="D2286" s="10" t="s">
        <v>24</v>
      </c>
      <c r="E2286" s="11" t="s">
        <v>1389</v>
      </c>
      <c r="F2286" s="12">
        <v>2</v>
      </c>
      <c r="G2286" s="10" t="s">
        <v>31</v>
      </c>
      <c r="H2286" s="13"/>
      <c r="I2286" s="13"/>
      <c r="J2286" s="10"/>
    </row>
    <row r="2287" spans="1:10" x14ac:dyDescent="0.2">
      <c r="A2287" s="1" t="s">
        <v>1390</v>
      </c>
      <c r="B2287" s="1"/>
      <c r="C2287" s="1"/>
      <c r="D2287" s="1"/>
      <c r="E2287" s="1"/>
      <c r="F2287" s="1"/>
      <c r="G2287" s="1"/>
      <c r="H2287" s="1" t="s">
        <v>67</v>
      </c>
      <c r="I2287" s="13">
        <f>I2285+I2286</f>
        <v>0</v>
      </c>
      <c r="J2287" s="1"/>
    </row>
    <row r="2290" spans="1:10" ht="15" x14ac:dyDescent="0.25">
      <c r="A2290" s="21" t="s">
        <v>1391</v>
      </c>
      <c r="B2290" s="22"/>
      <c r="C2290" s="22"/>
      <c r="D2290" s="22"/>
      <c r="E2290" s="22"/>
      <c r="F2290" s="22"/>
      <c r="G2290" s="22"/>
      <c r="H2290" s="22"/>
      <c r="I2290" s="22"/>
      <c r="J2290" s="22"/>
    </row>
    <row r="2291" spans="1:10" ht="15" x14ac:dyDescent="0.25">
      <c r="A2291" s="21" t="s">
        <v>1376</v>
      </c>
      <c r="B2291" s="22"/>
      <c r="C2291" s="22"/>
      <c r="D2291" s="22"/>
      <c r="E2291" s="22"/>
      <c r="F2291" s="22"/>
      <c r="G2291" s="22"/>
      <c r="H2291" s="22"/>
      <c r="I2291" s="22"/>
      <c r="J2291" s="22"/>
    </row>
    <row r="2293" spans="1:10" ht="15" x14ac:dyDescent="0.25">
      <c r="A2293" s="3" t="s">
        <v>2</v>
      </c>
      <c r="B2293" s="3" t="s">
        <v>3</v>
      </c>
      <c r="C2293" s="3" t="s">
        <v>4</v>
      </c>
      <c r="D2293" s="3" t="s">
        <v>5</v>
      </c>
      <c r="E2293" s="3" t="s">
        <v>6</v>
      </c>
      <c r="F2293" s="7" t="s">
        <v>7</v>
      </c>
      <c r="G2293" s="3" t="s">
        <v>8</v>
      </c>
      <c r="H2293" s="7" t="s">
        <v>9</v>
      </c>
      <c r="I2293" s="7" t="s">
        <v>10</v>
      </c>
      <c r="J2293" s="3" t="s">
        <v>11</v>
      </c>
    </row>
    <row r="2294" spans="1:10" ht="119.25" x14ac:dyDescent="0.2">
      <c r="A2294" s="2" t="s">
        <v>1377</v>
      </c>
      <c r="B2294" s="9">
        <v>1</v>
      </c>
      <c r="C2294" s="9">
        <v>5</v>
      </c>
      <c r="D2294" s="10" t="s">
        <v>13</v>
      </c>
      <c r="E2294" s="11" t="s">
        <v>1392</v>
      </c>
      <c r="F2294" s="12">
        <v>59</v>
      </c>
      <c r="G2294" s="10" t="s">
        <v>83</v>
      </c>
      <c r="H2294" s="13"/>
      <c r="I2294" s="13"/>
      <c r="J2294" s="10"/>
    </row>
    <row r="2295" spans="1:10" ht="134.25" x14ac:dyDescent="0.2">
      <c r="A2295" s="2" t="s">
        <v>1377</v>
      </c>
      <c r="B2295" s="9">
        <v>1</v>
      </c>
      <c r="C2295" s="9">
        <v>5</v>
      </c>
      <c r="D2295" s="10" t="s">
        <v>16</v>
      </c>
      <c r="E2295" s="11" t="s">
        <v>1393</v>
      </c>
      <c r="F2295" s="12">
        <v>1</v>
      </c>
      <c r="G2295" s="10" t="s">
        <v>31</v>
      </c>
      <c r="H2295" s="13"/>
      <c r="I2295" s="13"/>
      <c r="J2295" s="10"/>
    </row>
    <row r="2296" spans="1:10" ht="74.25" x14ac:dyDescent="0.2">
      <c r="A2296" s="2" t="s">
        <v>1377</v>
      </c>
      <c r="B2296" s="9">
        <v>1</v>
      </c>
      <c r="C2296" s="9">
        <v>5</v>
      </c>
      <c r="D2296" s="10" t="s">
        <v>18</v>
      </c>
      <c r="E2296" s="11" t="s">
        <v>1394</v>
      </c>
      <c r="F2296" s="12">
        <v>13</v>
      </c>
      <c r="G2296" s="10" t="s">
        <v>31</v>
      </c>
      <c r="H2296" s="13"/>
      <c r="I2296" s="13"/>
      <c r="J2296" s="10"/>
    </row>
    <row r="2297" spans="1:10" x14ac:dyDescent="0.2">
      <c r="A2297" s="1" t="s">
        <v>1395</v>
      </c>
      <c r="B2297" s="1"/>
      <c r="C2297" s="1"/>
      <c r="D2297" s="1"/>
      <c r="E2297" s="1"/>
      <c r="F2297" s="1"/>
      <c r="G2297" s="1"/>
      <c r="H2297" s="1" t="s">
        <v>67</v>
      </c>
      <c r="I2297" s="13">
        <f>I2294+I2295+I2296</f>
        <v>0</v>
      </c>
      <c r="J2297" s="1"/>
    </row>
    <row r="2305" spans="1:10" ht="15" x14ac:dyDescent="0.25">
      <c r="A2305" s="3" t="s">
        <v>89</v>
      </c>
      <c r="B2305" s="14"/>
      <c r="C2305" s="14"/>
      <c r="D2305" s="14"/>
      <c r="E2305" s="14"/>
      <c r="F2305" s="14"/>
      <c r="G2305" s="14"/>
      <c r="H2305" s="14"/>
      <c r="I2305" s="7" t="s">
        <v>90</v>
      </c>
    </row>
    <row r="2306" spans="1:10" x14ac:dyDescent="0.2">
      <c r="A2306" s="15" t="s">
        <v>1396</v>
      </c>
      <c r="I2306" s="16">
        <f>I2245</f>
        <v>0</v>
      </c>
    </row>
    <row r="2307" spans="1:10" x14ac:dyDescent="0.2">
      <c r="A2307" s="15" t="s">
        <v>1397</v>
      </c>
      <c r="I2307" s="16">
        <f>I2260</f>
        <v>0</v>
      </c>
    </row>
    <row r="2308" spans="1:10" x14ac:dyDescent="0.2">
      <c r="A2308" s="15" t="s">
        <v>1398</v>
      </c>
      <c r="I2308" s="16">
        <f>I2274</f>
        <v>0</v>
      </c>
    </row>
    <row r="2309" spans="1:10" x14ac:dyDescent="0.2">
      <c r="A2309" s="15" t="s">
        <v>1399</v>
      </c>
      <c r="I2309" s="16">
        <f>I2287</f>
        <v>0</v>
      </c>
    </row>
    <row r="2310" spans="1:10" x14ac:dyDescent="0.2">
      <c r="A2310" s="15" t="s">
        <v>1400</v>
      </c>
      <c r="I2310" s="16">
        <f>I2297</f>
        <v>0</v>
      </c>
    </row>
    <row r="2311" spans="1:10" x14ac:dyDescent="0.2">
      <c r="A2311" s="15"/>
      <c r="I2311" s="15"/>
    </row>
    <row r="2312" spans="1:10" x14ac:dyDescent="0.2">
      <c r="A2312" s="17"/>
      <c r="B2312" s="18"/>
      <c r="C2312" s="18"/>
      <c r="D2312" s="18"/>
      <c r="E2312" s="18"/>
      <c r="F2312" s="18"/>
      <c r="G2312" s="18"/>
      <c r="H2312" s="18"/>
      <c r="I2312" s="17"/>
    </row>
    <row r="2313" spans="1:10" x14ac:dyDescent="0.2">
      <c r="H2313" s="4" t="s">
        <v>95</v>
      </c>
      <c r="I2313" s="13">
        <f>SUM(I2306:I2312)</f>
        <v>0</v>
      </c>
    </row>
    <row r="2317" spans="1:10" ht="15" x14ac:dyDescent="0.25">
      <c r="A2317" s="21" t="s">
        <v>1401</v>
      </c>
      <c r="B2317" s="22"/>
      <c r="C2317" s="22"/>
      <c r="D2317" s="22"/>
      <c r="E2317" s="22"/>
      <c r="F2317" s="22"/>
      <c r="G2317" s="22"/>
      <c r="H2317" s="22"/>
      <c r="I2317" s="22"/>
      <c r="J2317" s="22"/>
    </row>
    <row r="2318" spans="1:10" ht="15" x14ac:dyDescent="0.25">
      <c r="A2318" s="21" t="s">
        <v>1402</v>
      </c>
      <c r="B2318" s="22"/>
      <c r="C2318" s="22"/>
      <c r="D2318" s="22"/>
      <c r="E2318" s="22"/>
      <c r="F2318" s="22"/>
      <c r="G2318" s="22"/>
      <c r="H2318" s="22"/>
      <c r="I2318" s="22"/>
      <c r="J2318" s="22"/>
    </row>
    <row r="2320" spans="1:10" ht="15" x14ac:dyDescent="0.25">
      <c r="A2320" s="3" t="s">
        <v>2</v>
      </c>
      <c r="B2320" s="3" t="s">
        <v>3</v>
      </c>
      <c r="C2320" s="3" t="s">
        <v>4</v>
      </c>
      <c r="D2320" s="3" t="s">
        <v>5</v>
      </c>
      <c r="E2320" s="3" t="s">
        <v>6</v>
      </c>
      <c r="F2320" s="7" t="s">
        <v>7</v>
      </c>
      <c r="G2320" s="3" t="s">
        <v>8</v>
      </c>
      <c r="H2320" s="7" t="s">
        <v>9</v>
      </c>
      <c r="I2320" s="7" t="s">
        <v>10</v>
      </c>
      <c r="J2320" s="3" t="s">
        <v>11</v>
      </c>
    </row>
    <row r="2321" spans="1:10" ht="179.25" x14ac:dyDescent="0.2">
      <c r="A2321" s="2" t="s">
        <v>1403</v>
      </c>
      <c r="B2321" s="9">
        <v>1</v>
      </c>
      <c r="C2321" s="9">
        <v>1</v>
      </c>
      <c r="D2321" s="10" t="s">
        <v>13</v>
      </c>
      <c r="E2321" s="11" t="s">
        <v>1149</v>
      </c>
      <c r="F2321" s="12">
        <v>51</v>
      </c>
      <c r="G2321" s="10" t="s">
        <v>83</v>
      </c>
      <c r="H2321" s="13"/>
      <c r="I2321" s="13"/>
      <c r="J2321" s="10"/>
    </row>
    <row r="2322" spans="1:10" x14ac:dyDescent="0.2">
      <c r="A2322" s="2" t="s">
        <v>1403</v>
      </c>
      <c r="B2322" s="9">
        <v>1</v>
      </c>
      <c r="C2322" s="9">
        <v>1</v>
      </c>
      <c r="D2322" s="10" t="s">
        <v>16</v>
      </c>
      <c r="E2322" s="11" t="s">
        <v>1150</v>
      </c>
      <c r="F2322" s="12">
        <v>4</v>
      </c>
      <c r="G2322" s="10" t="s">
        <v>31</v>
      </c>
      <c r="H2322" s="13"/>
      <c r="I2322" s="13"/>
      <c r="J2322" s="10"/>
    </row>
    <row r="2323" spans="1:10" x14ac:dyDescent="0.2">
      <c r="A2323" s="2" t="s">
        <v>1403</v>
      </c>
      <c r="B2323" s="9">
        <v>1</v>
      </c>
      <c r="C2323" s="9">
        <v>1</v>
      </c>
      <c r="D2323" s="10" t="s">
        <v>18</v>
      </c>
      <c r="E2323" s="11" t="s">
        <v>1151</v>
      </c>
      <c r="F2323" s="12">
        <v>1</v>
      </c>
      <c r="G2323" s="10" t="s">
        <v>31</v>
      </c>
      <c r="H2323" s="13"/>
      <c r="I2323" s="13"/>
      <c r="J2323" s="10"/>
    </row>
    <row r="2324" spans="1:10" ht="74.25" x14ac:dyDescent="0.2">
      <c r="A2324" s="2" t="s">
        <v>1403</v>
      </c>
      <c r="B2324" s="9">
        <v>1</v>
      </c>
      <c r="C2324" s="9">
        <v>1</v>
      </c>
      <c r="D2324" s="10" t="s">
        <v>20</v>
      </c>
      <c r="E2324" s="11" t="s">
        <v>1404</v>
      </c>
      <c r="F2324" s="12">
        <v>5</v>
      </c>
      <c r="G2324" s="10" t="s">
        <v>83</v>
      </c>
      <c r="H2324" s="13"/>
      <c r="I2324" s="13"/>
      <c r="J2324" s="10"/>
    </row>
    <row r="2325" spans="1:10" x14ac:dyDescent="0.2">
      <c r="A2325" s="2" t="s">
        <v>1403</v>
      </c>
      <c r="B2325" s="9">
        <v>1</v>
      </c>
      <c r="C2325" s="9">
        <v>1</v>
      </c>
      <c r="D2325" s="10" t="s">
        <v>22</v>
      </c>
      <c r="E2325" s="11" t="s">
        <v>1150</v>
      </c>
      <c r="F2325" s="12">
        <v>3</v>
      </c>
      <c r="G2325" s="10" t="s">
        <v>31</v>
      </c>
      <c r="H2325" s="13"/>
      <c r="I2325" s="13"/>
      <c r="J2325" s="10"/>
    </row>
    <row r="2326" spans="1:10" x14ac:dyDescent="0.2">
      <c r="A2326" s="2" t="s">
        <v>1403</v>
      </c>
      <c r="B2326" s="9">
        <v>1</v>
      </c>
      <c r="C2326" s="9">
        <v>1</v>
      </c>
      <c r="D2326" s="10" t="s">
        <v>24</v>
      </c>
      <c r="E2326" s="11" t="s">
        <v>1151</v>
      </c>
      <c r="F2326" s="12">
        <v>6</v>
      </c>
      <c r="G2326" s="10" t="s">
        <v>31</v>
      </c>
      <c r="H2326" s="13"/>
      <c r="I2326" s="13"/>
      <c r="J2326" s="10"/>
    </row>
    <row r="2327" spans="1:10" ht="164.25" x14ac:dyDescent="0.2">
      <c r="A2327" s="2" t="s">
        <v>1403</v>
      </c>
      <c r="B2327" s="9">
        <v>1</v>
      </c>
      <c r="C2327" s="9">
        <v>1</v>
      </c>
      <c r="D2327" s="10" t="s">
        <v>27</v>
      </c>
      <c r="E2327" s="11" t="s">
        <v>1152</v>
      </c>
      <c r="F2327" s="12">
        <v>6</v>
      </c>
      <c r="G2327" s="10" t="s">
        <v>83</v>
      </c>
      <c r="H2327" s="13"/>
      <c r="I2327" s="13"/>
      <c r="J2327" s="10"/>
    </row>
    <row r="2328" spans="1:10" x14ac:dyDescent="0.2">
      <c r="A2328" s="1" t="s">
        <v>1405</v>
      </c>
      <c r="B2328" s="1"/>
      <c r="C2328" s="1"/>
      <c r="D2328" s="1"/>
      <c r="E2328" s="1"/>
      <c r="F2328" s="1"/>
      <c r="G2328" s="1"/>
      <c r="H2328" s="1" t="s">
        <v>67</v>
      </c>
      <c r="I2328" s="13">
        <f>I2321+I2322+I2323+I2324+I2325+I2326+I2327</f>
        <v>0</v>
      </c>
      <c r="J2328" s="1"/>
    </row>
    <row r="2331" spans="1:10" ht="15" x14ac:dyDescent="0.25">
      <c r="A2331" s="21" t="s">
        <v>1406</v>
      </c>
      <c r="B2331" s="22"/>
      <c r="C2331" s="22"/>
      <c r="D2331" s="22"/>
      <c r="E2331" s="22"/>
      <c r="F2331" s="22"/>
      <c r="G2331" s="22"/>
      <c r="H2331" s="22"/>
      <c r="I2331" s="22"/>
      <c r="J2331" s="22"/>
    </row>
    <row r="2332" spans="1:10" ht="15" x14ac:dyDescent="0.25">
      <c r="A2332" s="21" t="s">
        <v>1402</v>
      </c>
      <c r="B2332" s="22"/>
      <c r="C2332" s="22"/>
      <c r="D2332" s="22"/>
      <c r="E2332" s="22"/>
      <c r="F2332" s="22"/>
      <c r="G2332" s="22"/>
      <c r="H2332" s="22"/>
      <c r="I2332" s="22"/>
      <c r="J2332" s="22"/>
    </row>
    <row r="2334" spans="1:10" ht="15" x14ac:dyDescent="0.25">
      <c r="A2334" s="3" t="s">
        <v>2</v>
      </c>
      <c r="B2334" s="3" t="s">
        <v>3</v>
      </c>
      <c r="C2334" s="3" t="s">
        <v>4</v>
      </c>
      <c r="D2334" s="3" t="s">
        <v>5</v>
      </c>
      <c r="E2334" s="3" t="s">
        <v>6</v>
      </c>
      <c r="F2334" s="7" t="s">
        <v>7</v>
      </c>
      <c r="G2334" s="3" t="s">
        <v>8</v>
      </c>
      <c r="H2334" s="7" t="s">
        <v>9</v>
      </c>
      <c r="I2334" s="7" t="s">
        <v>10</v>
      </c>
      <c r="J2334" s="3" t="s">
        <v>11</v>
      </c>
    </row>
    <row r="2335" spans="1:10" ht="89.25" x14ac:dyDescent="0.2">
      <c r="A2335" s="2" t="s">
        <v>1403</v>
      </c>
      <c r="B2335" s="9">
        <v>1</v>
      </c>
      <c r="C2335" s="9">
        <v>2</v>
      </c>
      <c r="D2335" s="10" t="s">
        <v>13</v>
      </c>
      <c r="E2335" s="11" t="s">
        <v>1407</v>
      </c>
      <c r="F2335" s="12">
        <v>6</v>
      </c>
      <c r="G2335" s="10" t="s">
        <v>83</v>
      </c>
      <c r="H2335" s="13"/>
      <c r="I2335" s="13"/>
      <c r="J2335" s="10"/>
    </row>
    <row r="2336" spans="1:10" ht="74.25" x14ac:dyDescent="0.2">
      <c r="A2336" s="2" t="s">
        <v>1403</v>
      </c>
      <c r="B2336" s="9">
        <v>1</v>
      </c>
      <c r="C2336" s="9">
        <v>2</v>
      </c>
      <c r="D2336" s="10" t="s">
        <v>16</v>
      </c>
      <c r="E2336" s="11" t="s">
        <v>1408</v>
      </c>
      <c r="F2336" s="12">
        <v>6</v>
      </c>
      <c r="G2336" s="10" t="s">
        <v>83</v>
      </c>
      <c r="H2336" s="13"/>
      <c r="I2336" s="13"/>
      <c r="J2336" s="10"/>
    </row>
    <row r="2337" spans="1:10" x14ac:dyDescent="0.2">
      <c r="A2337" s="2" t="s">
        <v>1403</v>
      </c>
      <c r="B2337" s="9">
        <v>1</v>
      </c>
      <c r="C2337" s="9">
        <v>2</v>
      </c>
      <c r="D2337" s="10" t="s">
        <v>18</v>
      </c>
      <c r="E2337" s="11" t="s">
        <v>1168</v>
      </c>
      <c r="F2337" s="12">
        <v>12</v>
      </c>
      <c r="G2337" s="10" t="s">
        <v>31</v>
      </c>
      <c r="H2337" s="13"/>
      <c r="I2337" s="13"/>
      <c r="J2337" s="10"/>
    </row>
    <row r="2338" spans="1:10" ht="74.25" x14ac:dyDescent="0.2">
      <c r="A2338" s="2" t="s">
        <v>1403</v>
      </c>
      <c r="B2338" s="9">
        <v>1</v>
      </c>
      <c r="C2338" s="9">
        <v>2</v>
      </c>
      <c r="D2338" s="10" t="s">
        <v>20</v>
      </c>
      <c r="E2338" s="11" t="s">
        <v>1199</v>
      </c>
      <c r="F2338" s="12">
        <v>1</v>
      </c>
      <c r="G2338" s="10" t="s">
        <v>15</v>
      </c>
      <c r="H2338" s="13"/>
      <c r="I2338" s="13"/>
      <c r="J2338" s="10"/>
    </row>
    <row r="2339" spans="1:10" x14ac:dyDescent="0.2">
      <c r="A2339" s="2" t="s">
        <v>1403</v>
      </c>
      <c r="B2339" s="9">
        <v>1</v>
      </c>
      <c r="C2339" s="9">
        <v>2</v>
      </c>
      <c r="D2339" s="10" t="s">
        <v>22</v>
      </c>
      <c r="E2339" s="11" t="s">
        <v>1200</v>
      </c>
      <c r="F2339" s="12">
        <v>1</v>
      </c>
      <c r="G2339" s="10" t="s">
        <v>15</v>
      </c>
      <c r="H2339" s="13"/>
      <c r="I2339" s="13"/>
      <c r="J2339" s="10"/>
    </row>
    <row r="2340" spans="1:10" ht="44.25" x14ac:dyDescent="0.2">
      <c r="A2340" s="2" t="s">
        <v>1403</v>
      </c>
      <c r="B2340" s="9">
        <v>1</v>
      </c>
      <c r="C2340" s="9">
        <v>2</v>
      </c>
      <c r="D2340" s="10" t="s">
        <v>24</v>
      </c>
      <c r="E2340" s="11" t="s">
        <v>1347</v>
      </c>
      <c r="F2340" s="12">
        <v>1</v>
      </c>
      <c r="G2340" s="10" t="s">
        <v>15</v>
      </c>
      <c r="H2340" s="13"/>
      <c r="I2340" s="13"/>
      <c r="J2340" s="10"/>
    </row>
    <row r="2341" spans="1:10" ht="74.25" x14ac:dyDescent="0.2">
      <c r="A2341" s="2" t="s">
        <v>1403</v>
      </c>
      <c r="B2341" s="9">
        <v>1</v>
      </c>
      <c r="C2341" s="9">
        <v>2</v>
      </c>
      <c r="D2341" s="10" t="s">
        <v>27</v>
      </c>
      <c r="E2341" s="11" t="s">
        <v>1207</v>
      </c>
      <c r="F2341" s="12">
        <v>1</v>
      </c>
      <c r="G2341" s="10" t="s">
        <v>15</v>
      </c>
      <c r="H2341" s="13"/>
      <c r="I2341" s="13"/>
      <c r="J2341" s="10"/>
    </row>
    <row r="2342" spans="1:10" x14ac:dyDescent="0.2">
      <c r="A2342" s="1" t="s">
        <v>1409</v>
      </c>
      <c r="B2342" s="1"/>
      <c r="C2342" s="1"/>
      <c r="D2342" s="1"/>
      <c r="E2342" s="1"/>
      <c r="F2342" s="1"/>
      <c r="G2342" s="1"/>
      <c r="H2342" s="1" t="s">
        <v>67</v>
      </c>
      <c r="I2342" s="13">
        <f>I2335+I2336+I2337+I2338+I2339+I2340+I2341</f>
        <v>0</v>
      </c>
      <c r="J2342" s="1"/>
    </row>
    <row r="2350" spans="1:10" ht="15" x14ac:dyDescent="0.25">
      <c r="A2350" s="3" t="s">
        <v>89</v>
      </c>
      <c r="B2350" s="14"/>
      <c r="C2350" s="14"/>
      <c r="D2350" s="14"/>
      <c r="E2350" s="14"/>
      <c r="F2350" s="14"/>
      <c r="G2350" s="14"/>
      <c r="H2350" s="14"/>
      <c r="I2350" s="7" t="s">
        <v>90</v>
      </c>
    </row>
    <row r="2351" spans="1:10" x14ac:dyDescent="0.2">
      <c r="A2351" s="15" t="s">
        <v>1410</v>
      </c>
      <c r="I2351" s="16">
        <f>I2328</f>
        <v>0</v>
      </c>
    </row>
    <row r="2352" spans="1:10" x14ac:dyDescent="0.2">
      <c r="A2352" s="15" t="s">
        <v>1411</v>
      </c>
      <c r="I2352" s="16">
        <f>I2342</f>
        <v>0</v>
      </c>
    </row>
    <row r="2353" spans="1:10" x14ac:dyDescent="0.2">
      <c r="A2353" s="15"/>
      <c r="I2353" s="15"/>
    </row>
    <row r="2354" spans="1:10" x14ac:dyDescent="0.2">
      <c r="A2354" s="17"/>
      <c r="B2354" s="18"/>
      <c r="C2354" s="18"/>
      <c r="D2354" s="18"/>
      <c r="E2354" s="18"/>
      <c r="F2354" s="18"/>
      <c r="G2354" s="18"/>
      <c r="H2354" s="18"/>
      <c r="I2354" s="17"/>
    </row>
    <row r="2355" spans="1:10" x14ac:dyDescent="0.2">
      <c r="H2355" s="4" t="s">
        <v>95</v>
      </c>
      <c r="I2355" s="13">
        <f>SUM(I2351:I2354)</f>
        <v>0</v>
      </c>
    </row>
    <row r="2359" spans="1:10" ht="15" x14ac:dyDescent="0.25">
      <c r="A2359" s="21" t="s">
        <v>1412</v>
      </c>
      <c r="B2359" s="22"/>
      <c r="C2359" s="22"/>
      <c r="D2359" s="22"/>
      <c r="E2359" s="22"/>
      <c r="F2359" s="22"/>
      <c r="G2359" s="22"/>
      <c r="H2359" s="22"/>
      <c r="I2359" s="22"/>
      <c r="J2359" s="22"/>
    </row>
    <row r="2360" spans="1:10" ht="15" x14ac:dyDescent="0.25">
      <c r="A2360" s="21" t="s">
        <v>1413</v>
      </c>
      <c r="B2360" s="22"/>
      <c r="C2360" s="22"/>
      <c r="D2360" s="22"/>
      <c r="E2360" s="22"/>
      <c r="F2360" s="22"/>
      <c r="G2360" s="22"/>
      <c r="H2360" s="22"/>
      <c r="I2360" s="22"/>
      <c r="J2360" s="22"/>
    </row>
    <row r="2362" spans="1:10" ht="15" x14ac:dyDescent="0.25">
      <c r="A2362" s="3" t="s">
        <v>2</v>
      </c>
      <c r="B2362" s="3" t="s">
        <v>3</v>
      </c>
      <c r="C2362" s="3" t="s">
        <v>4</v>
      </c>
      <c r="D2362" s="3" t="s">
        <v>5</v>
      </c>
      <c r="E2362" s="3" t="s">
        <v>6</v>
      </c>
      <c r="F2362" s="7" t="s">
        <v>7</v>
      </c>
      <c r="G2362" s="3" t="s">
        <v>8</v>
      </c>
      <c r="H2362" s="7" t="s">
        <v>9</v>
      </c>
      <c r="I2362" s="7" t="s">
        <v>10</v>
      </c>
      <c r="J2362" s="3" t="s">
        <v>11</v>
      </c>
    </row>
    <row r="2363" spans="1:10" ht="179.25" x14ac:dyDescent="0.2">
      <c r="A2363" s="2" t="s">
        <v>1414</v>
      </c>
      <c r="B2363" s="9">
        <v>1</v>
      </c>
      <c r="C2363" s="9">
        <v>1</v>
      </c>
      <c r="D2363" s="10" t="s">
        <v>13</v>
      </c>
      <c r="E2363" s="11" t="s">
        <v>1415</v>
      </c>
      <c r="F2363" s="12">
        <v>106</v>
      </c>
      <c r="G2363" s="10" t="s">
        <v>83</v>
      </c>
      <c r="H2363" s="13"/>
      <c r="I2363" s="13"/>
      <c r="J2363" s="10"/>
    </row>
    <row r="2364" spans="1:10" x14ac:dyDescent="0.2">
      <c r="A2364" s="2" t="s">
        <v>1414</v>
      </c>
      <c r="B2364" s="9">
        <v>1</v>
      </c>
      <c r="C2364" s="9">
        <v>1</v>
      </c>
      <c r="D2364" s="10" t="s">
        <v>16</v>
      </c>
      <c r="E2364" s="11" t="s">
        <v>1416</v>
      </c>
      <c r="F2364" s="12">
        <v>19</v>
      </c>
      <c r="G2364" s="10" t="s">
        <v>83</v>
      </c>
      <c r="H2364" s="13"/>
      <c r="I2364" s="13"/>
      <c r="J2364" s="10"/>
    </row>
    <row r="2365" spans="1:10" ht="59.25" x14ac:dyDescent="0.2">
      <c r="A2365" s="2" t="s">
        <v>1414</v>
      </c>
      <c r="B2365" s="9">
        <v>1</v>
      </c>
      <c r="C2365" s="9">
        <v>1</v>
      </c>
      <c r="D2365" s="10" t="s">
        <v>18</v>
      </c>
      <c r="E2365" s="11" t="s">
        <v>1417</v>
      </c>
      <c r="F2365" s="12">
        <v>56.999999999999993</v>
      </c>
      <c r="G2365" s="10" t="s">
        <v>83</v>
      </c>
      <c r="H2365" s="13"/>
      <c r="I2365" s="13"/>
      <c r="J2365" s="10"/>
    </row>
    <row r="2366" spans="1:10" x14ac:dyDescent="0.2">
      <c r="A2366" s="2" t="s">
        <v>1414</v>
      </c>
      <c r="B2366" s="9">
        <v>1</v>
      </c>
      <c r="C2366" s="9">
        <v>1</v>
      </c>
      <c r="D2366" s="10" t="s">
        <v>20</v>
      </c>
      <c r="E2366" s="11" t="s">
        <v>1418</v>
      </c>
      <c r="F2366" s="12">
        <v>32</v>
      </c>
      <c r="G2366" s="10" t="s">
        <v>83</v>
      </c>
      <c r="H2366" s="13"/>
      <c r="I2366" s="13"/>
      <c r="J2366" s="10"/>
    </row>
    <row r="2367" spans="1:10" x14ac:dyDescent="0.2">
      <c r="A2367" s="2" t="s">
        <v>1414</v>
      </c>
      <c r="B2367" s="9">
        <v>1</v>
      </c>
      <c r="C2367" s="9">
        <v>1</v>
      </c>
      <c r="D2367" s="10" t="s">
        <v>22</v>
      </c>
      <c r="E2367" s="11" t="s">
        <v>1419</v>
      </c>
      <c r="F2367" s="12">
        <v>25</v>
      </c>
      <c r="G2367" s="10" t="s">
        <v>83</v>
      </c>
      <c r="H2367" s="13"/>
      <c r="I2367" s="13"/>
      <c r="J2367" s="10"/>
    </row>
    <row r="2368" spans="1:10" x14ac:dyDescent="0.2">
      <c r="A2368" s="2" t="s">
        <v>1414</v>
      </c>
      <c r="B2368" s="9">
        <v>1</v>
      </c>
      <c r="C2368" s="9">
        <v>1</v>
      </c>
      <c r="D2368" s="10" t="s">
        <v>24</v>
      </c>
      <c r="E2368" s="11" t="s">
        <v>1420</v>
      </c>
      <c r="F2368" s="12">
        <v>19</v>
      </c>
      <c r="G2368" s="10" t="s">
        <v>83</v>
      </c>
      <c r="H2368" s="13"/>
      <c r="I2368" s="13"/>
      <c r="J2368" s="10"/>
    </row>
    <row r="2369" spans="1:10" ht="74.25" x14ac:dyDescent="0.2">
      <c r="A2369" s="2" t="s">
        <v>1414</v>
      </c>
      <c r="B2369" s="9">
        <v>1</v>
      </c>
      <c r="C2369" s="9">
        <v>1</v>
      </c>
      <c r="D2369" s="10" t="s">
        <v>27</v>
      </c>
      <c r="E2369" s="11" t="s">
        <v>1421</v>
      </c>
      <c r="F2369" s="12">
        <v>163</v>
      </c>
      <c r="G2369" s="10" t="s">
        <v>83</v>
      </c>
      <c r="H2369" s="13"/>
      <c r="I2369" s="13"/>
      <c r="J2369" s="10"/>
    </row>
    <row r="2370" spans="1:10" x14ac:dyDescent="0.2">
      <c r="A2370" s="2" t="s">
        <v>1414</v>
      </c>
      <c r="B2370" s="9">
        <v>1</v>
      </c>
      <c r="C2370" s="9">
        <v>1</v>
      </c>
      <c r="D2370" s="10" t="s">
        <v>29</v>
      </c>
      <c r="E2370" s="11" t="s">
        <v>1422</v>
      </c>
      <c r="F2370" s="12">
        <v>51</v>
      </c>
      <c r="G2370" s="10" t="s">
        <v>83</v>
      </c>
      <c r="H2370" s="13"/>
      <c r="I2370" s="13"/>
      <c r="J2370" s="10"/>
    </row>
    <row r="2371" spans="1:10" x14ac:dyDescent="0.2">
      <c r="A2371" s="2" t="s">
        <v>1414</v>
      </c>
      <c r="B2371" s="9">
        <v>1</v>
      </c>
      <c r="C2371" s="9">
        <v>1</v>
      </c>
      <c r="D2371" s="10" t="s">
        <v>32</v>
      </c>
      <c r="E2371" s="11" t="s">
        <v>1423</v>
      </c>
      <c r="F2371" s="12">
        <v>25</v>
      </c>
      <c r="G2371" s="10" t="s">
        <v>83</v>
      </c>
      <c r="H2371" s="13"/>
      <c r="I2371" s="13"/>
      <c r="J2371" s="10"/>
    </row>
    <row r="2372" spans="1:10" x14ac:dyDescent="0.2">
      <c r="A2372" s="2" t="s">
        <v>1414</v>
      </c>
      <c r="B2372" s="9">
        <v>1</v>
      </c>
      <c r="C2372" s="9">
        <v>1</v>
      </c>
      <c r="D2372" s="10" t="s">
        <v>33</v>
      </c>
      <c r="E2372" s="11" t="s">
        <v>1424</v>
      </c>
      <c r="F2372" s="12">
        <v>19</v>
      </c>
      <c r="G2372" s="10" t="s">
        <v>83</v>
      </c>
      <c r="H2372" s="13"/>
      <c r="I2372" s="13"/>
      <c r="J2372" s="10"/>
    </row>
    <row r="2373" spans="1:10" x14ac:dyDescent="0.2">
      <c r="A2373" s="1" t="s">
        <v>1425</v>
      </c>
      <c r="B2373" s="1"/>
      <c r="C2373" s="1"/>
      <c r="D2373" s="1"/>
      <c r="E2373" s="1"/>
      <c r="F2373" s="1"/>
      <c r="G2373" s="1"/>
      <c r="H2373" s="1" t="s">
        <v>67</v>
      </c>
      <c r="I2373" s="13">
        <f>I2363+I2364+I2365+I2366+I2367+I2368+I2369+I2370+I2371+I2372</f>
        <v>0</v>
      </c>
      <c r="J2373" s="1"/>
    </row>
    <row r="2376" spans="1:10" ht="15" x14ac:dyDescent="0.25">
      <c r="A2376" s="21" t="s">
        <v>1426</v>
      </c>
      <c r="B2376" s="22"/>
      <c r="C2376" s="22"/>
      <c r="D2376" s="22"/>
      <c r="E2376" s="22"/>
      <c r="F2376" s="22"/>
      <c r="G2376" s="22"/>
      <c r="H2376" s="22"/>
      <c r="I2376" s="22"/>
      <c r="J2376" s="22"/>
    </row>
    <row r="2377" spans="1:10" ht="15" x14ac:dyDescent="0.25">
      <c r="A2377" s="21" t="s">
        <v>1413</v>
      </c>
      <c r="B2377" s="22"/>
      <c r="C2377" s="22"/>
      <c r="D2377" s="22"/>
      <c r="E2377" s="22"/>
      <c r="F2377" s="22"/>
      <c r="G2377" s="22"/>
      <c r="H2377" s="22"/>
      <c r="I2377" s="22"/>
      <c r="J2377" s="22"/>
    </row>
    <row r="2379" spans="1:10" ht="15" x14ac:dyDescent="0.25">
      <c r="A2379" s="3" t="s">
        <v>2</v>
      </c>
      <c r="B2379" s="3" t="s">
        <v>3</v>
      </c>
      <c r="C2379" s="3" t="s">
        <v>4</v>
      </c>
      <c r="D2379" s="3" t="s">
        <v>5</v>
      </c>
      <c r="E2379" s="3" t="s">
        <v>6</v>
      </c>
      <c r="F2379" s="7" t="s">
        <v>7</v>
      </c>
      <c r="G2379" s="3" t="s">
        <v>8</v>
      </c>
      <c r="H2379" s="7" t="s">
        <v>9</v>
      </c>
      <c r="I2379" s="7" t="s">
        <v>10</v>
      </c>
      <c r="J2379" s="3" t="s">
        <v>11</v>
      </c>
    </row>
    <row r="2380" spans="1:10" ht="74.25" x14ac:dyDescent="0.2">
      <c r="A2380" s="2" t="s">
        <v>1414</v>
      </c>
      <c r="B2380" s="9">
        <v>1</v>
      </c>
      <c r="C2380" s="9">
        <v>2</v>
      </c>
      <c r="D2380" s="10" t="s">
        <v>13</v>
      </c>
      <c r="E2380" s="11" t="s">
        <v>1427</v>
      </c>
      <c r="F2380" s="12">
        <v>3</v>
      </c>
      <c r="G2380" s="10" t="s">
        <v>31</v>
      </c>
      <c r="H2380" s="13"/>
      <c r="I2380" s="13"/>
      <c r="J2380" s="10"/>
    </row>
    <row r="2381" spans="1:10" x14ac:dyDescent="0.2">
      <c r="A2381" s="2" t="s">
        <v>1414</v>
      </c>
      <c r="B2381" s="9">
        <v>1</v>
      </c>
      <c r="C2381" s="9">
        <v>2</v>
      </c>
      <c r="D2381" s="10" t="s">
        <v>16</v>
      </c>
      <c r="E2381" s="11" t="s">
        <v>1428</v>
      </c>
      <c r="F2381" s="12">
        <v>7.0000000000000009</v>
      </c>
      <c r="G2381" s="10" t="s">
        <v>31</v>
      </c>
      <c r="H2381" s="13"/>
      <c r="I2381" s="13"/>
      <c r="J2381" s="10"/>
    </row>
    <row r="2382" spans="1:10" ht="74.25" x14ac:dyDescent="0.2">
      <c r="A2382" s="2" t="s">
        <v>1414</v>
      </c>
      <c r="B2382" s="9">
        <v>1</v>
      </c>
      <c r="C2382" s="9">
        <v>2</v>
      </c>
      <c r="D2382" s="10" t="s">
        <v>18</v>
      </c>
      <c r="E2382" s="11" t="s">
        <v>1429</v>
      </c>
      <c r="F2382" s="12">
        <v>56.999999999999993</v>
      </c>
      <c r="G2382" s="10" t="s">
        <v>83</v>
      </c>
      <c r="H2382" s="13"/>
      <c r="I2382" s="13"/>
      <c r="J2382" s="10"/>
    </row>
    <row r="2383" spans="1:10" ht="44.25" x14ac:dyDescent="0.2">
      <c r="A2383" s="2" t="s">
        <v>1414</v>
      </c>
      <c r="B2383" s="9">
        <v>1</v>
      </c>
      <c r="C2383" s="9">
        <v>2</v>
      </c>
      <c r="D2383" s="10" t="s">
        <v>20</v>
      </c>
      <c r="E2383" s="11" t="s">
        <v>1430</v>
      </c>
      <c r="F2383" s="12">
        <v>31</v>
      </c>
      <c r="G2383" s="10" t="s">
        <v>83</v>
      </c>
      <c r="H2383" s="13"/>
      <c r="I2383" s="13"/>
      <c r="J2383" s="10"/>
    </row>
    <row r="2384" spans="1:10" x14ac:dyDescent="0.2">
      <c r="A2384" s="2" t="s">
        <v>1414</v>
      </c>
      <c r="B2384" s="9">
        <v>1</v>
      </c>
      <c r="C2384" s="9">
        <v>2</v>
      </c>
      <c r="D2384" s="10" t="s">
        <v>22</v>
      </c>
      <c r="E2384" s="11" t="s">
        <v>1431</v>
      </c>
      <c r="F2384" s="12">
        <v>147</v>
      </c>
      <c r="G2384" s="10" t="s">
        <v>83</v>
      </c>
      <c r="H2384" s="13"/>
      <c r="I2384" s="13"/>
      <c r="J2384" s="10"/>
    </row>
    <row r="2385" spans="1:10" x14ac:dyDescent="0.2">
      <c r="A2385" s="2" t="s">
        <v>1414</v>
      </c>
      <c r="B2385" s="9">
        <v>1</v>
      </c>
      <c r="C2385" s="9">
        <v>2</v>
      </c>
      <c r="D2385" s="10" t="s">
        <v>24</v>
      </c>
      <c r="E2385" s="11" t="s">
        <v>1432</v>
      </c>
      <c r="F2385" s="12">
        <v>189</v>
      </c>
      <c r="G2385" s="10" t="s">
        <v>83</v>
      </c>
      <c r="H2385" s="13"/>
      <c r="I2385" s="13"/>
      <c r="J2385" s="10"/>
    </row>
    <row r="2386" spans="1:10" x14ac:dyDescent="0.2">
      <c r="A2386" s="2" t="s">
        <v>1414</v>
      </c>
      <c r="B2386" s="9">
        <v>1</v>
      </c>
      <c r="C2386" s="9">
        <v>2</v>
      </c>
      <c r="D2386" s="10" t="s">
        <v>27</v>
      </c>
      <c r="E2386" s="11" t="s">
        <v>1433</v>
      </c>
      <c r="F2386" s="12">
        <v>175.00000000000003</v>
      </c>
      <c r="G2386" s="10" t="s">
        <v>83</v>
      </c>
      <c r="H2386" s="13"/>
      <c r="I2386" s="13"/>
      <c r="J2386" s="10"/>
    </row>
    <row r="2387" spans="1:10" ht="74.25" x14ac:dyDescent="0.2">
      <c r="A2387" s="2" t="s">
        <v>1414</v>
      </c>
      <c r="B2387" s="9">
        <v>1</v>
      </c>
      <c r="C2387" s="9">
        <v>2</v>
      </c>
      <c r="D2387" s="10" t="s">
        <v>29</v>
      </c>
      <c r="E2387" s="11" t="s">
        <v>1434</v>
      </c>
      <c r="F2387" s="12">
        <v>3</v>
      </c>
      <c r="G2387" s="10" t="s">
        <v>31</v>
      </c>
      <c r="H2387" s="13"/>
      <c r="I2387" s="13"/>
      <c r="J2387" s="10"/>
    </row>
    <row r="2388" spans="1:10" x14ac:dyDescent="0.2">
      <c r="A2388" s="2" t="s">
        <v>1414</v>
      </c>
      <c r="B2388" s="9">
        <v>1</v>
      </c>
      <c r="C2388" s="9">
        <v>2</v>
      </c>
      <c r="D2388" s="10" t="s">
        <v>32</v>
      </c>
      <c r="E2388" s="11" t="s">
        <v>1435</v>
      </c>
      <c r="F2388" s="12">
        <v>6</v>
      </c>
      <c r="G2388" s="10" t="s">
        <v>31</v>
      </c>
      <c r="H2388" s="13"/>
      <c r="I2388" s="13"/>
      <c r="J2388" s="10"/>
    </row>
    <row r="2389" spans="1:10" x14ac:dyDescent="0.2">
      <c r="A2389" s="2" t="s">
        <v>1414</v>
      </c>
      <c r="B2389" s="9">
        <v>1</v>
      </c>
      <c r="C2389" s="9">
        <v>2</v>
      </c>
      <c r="D2389" s="10" t="s">
        <v>33</v>
      </c>
      <c r="E2389" s="11" t="s">
        <v>1436</v>
      </c>
      <c r="F2389" s="12">
        <v>7.0000000000000009</v>
      </c>
      <c r="G2389" s="10" t="s">
        <v>31</v>
      </c>
      <c r="H2389" s="13"/>
      <c r="I2389" s="13"/>
      <c r="J2389" s="10"/>
    </row>
    <row r="2390" spans="1:10" x14ac:dyDescent="0.2">
      <c r="A2390" s="2" t="s">
        <v>1414</v>
      </c>
      <c r="B2390" s="9">
        <v>1</v>
      </c>
      <c r="C2390" s="9">
        <v>2</v>
      </c>
      <c r="D2390" s="10" t="s">
        <v>34</v>
      </c>
      <c r="E2390" s="11" t="s">
        <v>1437</v>
      </c>
      <c r="F2390" s="12">
        <v>0</v>
      </c>
      <c r="G2390" s="10" t="s">
        <v>31</v>
      </c>
      <c r="H2390" s="13"/>
      <c r="I2390" s="13"/>
      <c r="J2390" s="10"/>
    </row>
    <row r="2391" spans="1:10" x14ac:dyDescent="0.2">
      <c r="A2391" s="2" t="s">
        <v>1414</v>
      </c>
      <c r="B2391" s="9">
        <v>1</v>
      </c>
      <c r="C2391" s="9">
        <v>2</v>
      </c>
      <c r="D2391" s="10" t="s">
        <v>35</v>
      </c>
      <c r="E2391" s="11" t="s">
        <v>1438</v>
      </c>
      <c r="F2391" s="12">
        <v>0</v>
      </c>
      <c r="G2391" s="10" t="s">
        <v>31</v>
      </c>
      <c r="H2391" s="13"/>
      <c r="I2391" s="13"/>
      <c r="J2391" s="10"/>
    </row>
    <row r="2392" spans="1:10" x14ac:dyDescent="0.2">
      <c r="A2392" s="2" t="s">
        <v>1414</v>
      </c>
      <c r="B2392" s="9">
        <v>1</v>
      </c>
      <c r="C2392" s="9">
        <v>2</v>
      </c>
      <c r="D2392" s="10" t="s">
        <v>36</v>
      </c>
      <c r="E2392" s="11" t="s">
        <v>1439</v>
      </c>
      <c r="F2392" s="12">
        <v>0</v>
      </c>
      <c r="G2392" s="10" t="s">
        <v>31</v>
      </c>
      <c r="H2392" s="13"/>
      <c r="I2392" s="13"/>
      <c r="J2392" s="10"/>
    </row>
    <row r="2393" spans="1:10" x14ac:dyDescent="0.2">
      <c r="A2393" s="2" t="s">
        <v>1414</v>
      </c>
      <c r="B2393" s="9">
        <v>1</v>
      </c>
      <c r="C2393" s="9">
        <v>2</v>
      </c>
      <c r="D2393" s="10" t="s">
        <v>40</v>
      </c>
      <c r="E2393" s="11" t="s">
        <v>1440</v>
      </c>
      <c r="F2393" s="12">
        <v>3</v>
      </c>
      <c r="G2393" s="10" t="s">
        <v>31</v>
      </c>
      <c r="H2393" s="13"/>
      <c r="I2393" s="13"/>
      <c r="J2393" s="10"/>
    </row>
    <row r="2394" spans="1:10" x14ac:dyDescent="0.2">
      <c r="A2394" s="2" t="s">
        <v>1414</v>
      </c>
      <c r="B2394" s="9">
        <v>1</v>
      </c>
      <c r="C2394" s="9">
        <v>2</v>
      </c>
      <c r="D2394" s="10" t="s">
        <v>42</v>
      </c>
      <c r="E2394" s="11" t="s">
        <v>1441</v>
      </c>
      <c r="F2394" s="12">
        <v>7.0000000000000009</v>
      </c>
      <c r="G2394" s="10" t="s">
        <v>31</v>
      </c>
      <c r="H2394" s="13"/>
      <c r="I2394" s="13"/>
      <c r="J2394" s="10"/>
    </row>
    <row r="2395" spans="1:10" x14ac:dyDescent="0.2">
      <c r="A2395" s="2" t="s">
        <v>1414</v>
      </c>
      <c r="B2395" s="9">
        <v>1</v>
      </c>
      <c r="C2395" s="9">
        <v>2</v>
      </c>
      <c r="D2395" s="10" t="s">
        <v>44</v>
      </c>
      <c r="E2395" s="11" t="s">
        <v>1442</v>
      </c>
      <c r="F2395" s="12">
        <v>9</v>
      </c>
      <c r="G2395" s="10" t="s">
        <v>31</v>
      </c>
      <c r="H2395" s="13"/>
      <c r="I2395" s="13"/>
      <c r="J2395" s="10"/>
    </row>
    <row r="2396" spans="1:10" x14ac:dyDescent="0.2">
      <c r="A2396" s="1" t="s">
        <v>1443</v>
      </c>
      <c r="B2396" s="1"/>
      <c r="C2396" s="1"/>
      <c r="D2396" s="1"/>
      <c r="E2396" s="1"/>
      <c r="F2396" s="1"/>
      <c r="G2396" s="1"/>
      <c r="H2396" s="1" t="s">
        <v>67</v>
      </c>
      <c r="I2396" s="13">
        <f>I2380+I2381+I2382+I2383+I2384+I2385+I2386+I2387+I2388+I2389+I2390+I2391+I2392+I2393+I2394+I2395</f>
        <v>0</v>
      </c>
      <c r="J2396" s="1"/>
    </row>
    <row r="2399" spans="1:10" ht="15" x14ac:dyDescent="0.25">
      <c r="A2399" s="21" t="s">
        <v>1444</v>
      </c>
      <c r="B2399" s="22"/>
      <c r="C2399" s="22"/>
      <c r="D2399" s="22"/>
      <c r="E2399" s="22"/>
      <c r="F2399" s="22"/>
      <c r="G2399" s="22"/>
      <c r="H2399" s="22"/>
      <c r="I2399" s="22"/>
      <c r="J2399" s="22"/>
    </row>
    <row r="2400" spans="1:10" ht="15" x14ac:dyDescent="0.25">
      <c r="A2400" s="21" t="s">
        <v>1413</v>
      </c>
      <c r="B2400" s="22"/>
      <c r="C2400" s="22"/>
      <c r="D2400" s="22"/>
      <c r="E2400" s="22"/>
      <c r="F2400" s="22"/>
      <c r="G2400" s="22"/>
      <c r="H2400" s="22"/>
      <c r="I2400" s="22"/>
      <c r="J2400" s="22"/>
    </row>
    <row r="2402" spans="1:10" ht="15" x14ac:dyDescent="0.25">
      <c r="A2402" s="3" t="s">
        <v>2</v>
      </c>
      <c r="B2402" s="3" t="s">
        <v>3</v>
      </c>
      <c r="C2402" s="3" t="s">
        <v>4</v>
      </c>
      <c r="D2402" s="3" t="s">
        <v>5</v>
      </c>
      <c r="E2402" s="3" t="s">
        <v>6</v>
      </c>
      <c r="F2402" s="7" t="s">
        <v>7</v>
      </c>
      <c r="G2402" s="3" t="s">
        <v>8</v>
      </c>
      <c r="H2402" s="7" t="s">
        <v>9</v>
      </c>
      <c r="I2402" s="7" t="s">
        <v>10</v>
      </c>
      <c r="J2402" s="3" t="s">
        <v>11</v>
      </c>
    </row>
    <row r="2403" spans="1:10" ht="74.25" x14ac:dyDescent="0.2">
      <c r="A2403" s="2" t="s">
        <v>1414</v>
      </c>
      <c r="B2403" s="9">
        <v>1</v>
      </c>
      <c r="C2403" s="9">
        <v>3</v>
      </c>
      <c r="D2403" s="10" t="s">
        <v>13</v>
      </c>
      <c r="E2403" s="11" t="s">
        <v>1445</v>
      </c>
      <c r="F2403" s="12">
        <v>25</v>
      </c>
      <c r="G2403" s="10" t="s">
        <v>83</v>
      </c>
      <c r="H2403" s="13"/>
      <c r="I2403" s="13"/>
      <c r="J2403" s="10"/>
    </row>
    <row r="2404" spans="1:10" x14ac:dyDescent="0.2">
      <c r="A2404" s="2" t="s">
        <v>1414</v>
      </c>
      <c r="B2404" s="9">
        <v>1</v>
      </c>
      <c r="C2404" s="9">
        <v>3</v>
      </c>
      <c r="D2404" s="10" t="s">
        <v>16</v>
      </c>
      <c r="E2404" s="11" t="s">
        <v>1446</v>
      </c>
      <c r="F2404" s="12">
        <v>0</v>
      </c>
      <c r="G2404" s="10" t="s">
        <v>83</v>
      </c>
      <c r="H2404" s="13"/>
      <c r="I2404" s="13"/>
      <c r="J2404" s="10"/>
    </row>
    <row r="2405" spans="1:10" x14ac:dyDescent="0.2">
      <c r="A2405" s="2" t="s">
        <v>1414</v>
      </c>
      <c r="B2405" s="9">
        <v>1</v>
      </c>
      <c r="C2405" s="9">
        <v>3</v>
      </c>
      <c r="D2405" s="10" t="s">
        <v>18</v>
      </c>
      <c r="E2405" s="11" t="s">
        <v>1447</v>
      </c>
      <c r="F2405" s="12">
        <v>0</v>
      </c>
      <c r="G2405" s="10" t="s">
        <v>83</v>
      </c>
      <c r="H2405" s="13"/>
      <c r="I2405" s="13"/>
      <c r="J2405" s="10"/>
    </row>
    <row r="2406" spans="1:10" x14ac:dyDescent="0.2">
      <c r="A2406" s="2" t="s">
        <v>1414</v>
      </c>
      <c r="B2406" s="9">
        <v>1</v>
      </c>
      <c r="C2406" s="9">
        <v>3</v>
      </c>
      <c r="D2406" s="10" t="s">
        <v>20</v>
      </c>
      <c r="E2406" s="11" t="s">
        <v>1422</v>
      </c>
      <c r="F2406" s="12">
        <v>19</v>
      </c>
      <c r="G2406" s="10" t="s">
        <v>83</v>
      </c>
      <c r="H2406" s="13"/>
      <c r="I2406" s="13"/>
      <c r="J2406" s="10"/>
    </row>
    <row r="2407" spans="1:10" x14ac:dyDescent="0.2">
      <c r="A2407" s="2" t="s">
        <v>1414</v>
      </c>
      <c r="B2407" s="9">
        <v>1</v>
      </c>
      <c r="C2407" s="9">
        <v>3</v>
      </c>
      <c r="D2407" s="10" t="s">
        <v>22</v>
      </c>
      <c r="E2407" s="11" t="s">
        <v>1448</v>
      </c>
      <c r="F2407" s="12">
        <v>32</v>
      </c>
      <c r="G2407" s="10" t="s">
        <v>83</v>
      </c>
      <c r="H2407" s="13"/>
      <c r="I2407" s="13"/>
      <c r="J2407" s="10"/>
    </row>
    <row r="2408" spans="1:10" x14ac:dyDescent="0.2">
      <c r="A2408" s="2" t="s">
        <v>1414</v>
      </c>
      <c r="B2408" s="9">
        <v>1</v>
      </c>
      <c r="C2408" s="9">
        <v>3</v>
      </c>
      <c r="D2408" s="10" t="s">
        <v>24</v>
      </c>
      <c r="E2408" s="11" t="s">
        <v>1449</v>
      </c>
      <c r="F2408" s="12">
        <v>19</v>
      </c>
      <c r="G2408" s="10" t="s">
        <v>83</v>
      </c>
      <c r="H2408" s="13"/>
      <c r="I2408" s="13"/>
      <c r="J2408" s="10"/>
    </row>
    <row r="2409" spans="1:10" ht="89.25" x14ac:dyDescent="0.2">
      <c r="A2409" s="2" t="s">
        <v>1414</v>
      </c>
      <c r="B2409" s="9">
        <v>1</v>
      </c>
      <c r="C2409" s="9">
        <v>3</v>
      </c>
      <c r="D2409" s="10" t="s">
        <v>27</v>
      </c>
      <c r="E2409" s="11" t="s">
        <v>1450</v>
      </c>
      <c r="F2409" s="12">
        <v>1</v>
      </c>
      <c r="G2409" s="10" t="s">
        <v>15</v>
      </c>
      <c r="H2409" s="13"/>
      <c r="I2409" s="6"/>
      <c r="J2409" s="10"/>
    </row>
    <row r="2410" spans="1:10" x14ac:dyDescent="0.2">
      <c r="A2410" s="2" t="s">
        <v>1414</v>
      </c>
      <c r="B2410" s="9">
        <v>1</v>
      </c>
      <c r="C2410" s="9">
        <v>3</v>
      </c>
      <c r="D2410" s="10" t="s">
        <v>29</v>
      </c>
      <c r="E2410" s="11" t="s">
        <v>1451</v>
      </c>
      <c r="F2410" s="12">
        <v>1</v>
      </c>
      <c r="G2410" s="10" t="s">
        <v>15</v>
      </c>
      <c r="H2410" s="13"/>
      <c r="I2410" s="6"/>
      <c r="J2410" s="10"/>
    </row>
    <row r="2411" spans="1:10" x14ac:dyDescent="0.2">
      <c r="A2411" s="2" t="s">
        <v>1414</v>
      </c>
      <c r="B2411" s="9">
        <v>1</v>
      </c>
      <c r="C2411" s="9">
        <v>3</v>
      </c>
      <c r="D2411" s="10" t="s">
        <v>32</v>
      </c>
      <c r="E2411" s="11" t="s">
        <v>1452</v>
      </c>
      <c r="F2411" s="12">
        <v>1</v>
      </c>
      <c r="G2411" s="10" t="s">
        <v>15</v>
      </c>
      <c r="H2411" s="13"/>
      <c r="I2411" s="6"/>
      <c r="J2411" s="10"/>
    </row>
    <row r="2412" spans="1:10" x14ac:dyDescent="0.2">
      <c r="A2412" s="2" t="s">
        <v>1414</v>
      </c>
      <c r="B2412" s="9">
        <v>1</v>
      </c>
      <c r="C2412" s="9">
        <v>3</v>
      </c>
      <c r="D2412" s="10" t="s">
        <v>33</v>
      </c>
      <c r="E2412" s="11" t="s">
        <v>1453</v>
      </c>
      <c r="F2412" s="12">
        <v>1</v>
      </c>
      <c r="G2412" s="10" t="s">
        <v>15</v>
      </c>
      <c r="H2412" s="13"/>
      <c r="I2412" s="6"/>
      <c r="J2412" s="10"/>
    </row>
    <row r="2413" spans="1:10" x14ac:dyDescent="0.2">
      <c r="A2413" s="1" t="s">
        <v>1454</v>
      </c>
      <c r="B2413" s="1"/>
      <c r="C2413" s="1"/>
      <c r="D2413" s="1"/>
      <c r="E2413" s="1"/>
      <c r="F2413" s="1"/>
      <c r="G2413" s="1"/>
      <c r="H2413" s="1" t="s">
        <v>67</v>
      </c>
      <c r="I2413" s="13">
        <f>I2403+I2404+I2405+I2406+I2407+I2408</f>
        <v>0</v>
      </c>
      <c r="J2413" s="1"/>
    </row>
    <row r="2421" spans="1:10" ht="15" x14ac:dyDescent="0.25">
      <c r="A2421" s="3" t="s">
        <v>89</v>
      </c>
      <c r="B2421" s="14"/>
      <c r="C2421" s="14"/>
      <c r="D2421" s="14"/>
      <c r="E2421" s="14"/>
      <c r="F2421" s="14"/>
      <c r="G2421" s="14"/>
      <c r="H2421" s="14"/>
      <c r="I2421" s="7" t="s">
        <v>90</v>
      </c>
    </row>
    <row r="2422" spans="1:10" x14ac:dyDescent="0.2">
      <c r="A2422" s="15" t="s">
        <v>1455</v>
      </c>
      <c r="I2422" s="16">
        <f>I2373</f>
        <v>0</v>
      </c>
    </row>
    <row r="2423" spans="1:10" x14ac:dyDescent="0.2">
      <c r="A2423" s="15" t="s">
        <v>1456</v>
      </c>
      <c r="I2423" s="16">
        <f>I2396</f>
        <v>0</v>
      </c>
    </row>
    <row r="2424" spans="1:10" x14ac:dyDescent="0.2">
      <c r="A2424" s="15" t="s">
        <v>1457</v>
      </c>
      <c r="I2424" s="16">
        <f>I2413</f>
        <v>0</v>
      </c>
    </row>
    <row r="2425" spans="1:10" x14ac:dyDescent="0.2">
      <c r="A2425" s="15"/>
      <c r="I2425" s="15"/>
    </row>
    <row r="2426" spans="1:10" x14ac:dyDescent="0.2">
      <c r="A2426" s="17"/>
      <c r="B2426" s="18"/>
      <c r="C2426" s="18"/>
      <c r="D2426" s="18"/>
      <c r="E2426" s="18"/>
      <c r="F2426" s="18"/>
      <c r="G2426" s="18"/>
      <c r="H2426" s="18"/>
      <c r="I2426" s="17"/>
    </row>
    <row r="2427" spans="1:10" x14ac:dyDescent="0.2">
      <c r="H2427" s="4" t="s">
        <v>95</v>
      </c>
      <c r="I2427" s="13">
        <f>SUM(I2422:I2426)</f>
        <v>0</v>
      </c>
    </row>
    <row r="2431" spans="1:10" ht="15" x14ac:dyDescent="0.25">
      <c r="A2431" s="21" t="s">
        <v>1458</v>
      </c>
      <c r="B2431" s="22"/>
      <c r="C2431" s="22"/>
      <c r="D2431" s="22"/>
      <c r="E2431" s="22"/>
      <c r="F2431" s="22"/>
      <c r="G2431" s="22"/>
      <c r="H2431" s="22"/>
      <c r="I2431" s="22"/>
      <c r="J2431" s="22"/>
    </row>
    <row r="2432" spans="1:10" ht="15" x14ac:dyDescent="0.25">
      <c r="A2432" s="21" t="s">
        <v>1459</v>
      </c>
      <c r="B2432" s="22"/>
      <c r="C2432" s="22"/>
      <c r="D2432" s="22"/>
      <c r="E2432" s="22"/>
      <c r="F2432" s="22"/>
      <c r="G2432" s="22"/>
      <c r="H2432" s="22"/>
      <c r="I2432" s="22"/>
      <c r="J2432" s="22"/>
    </row>
    <row r="2434" spans="1:10" ht="15" x14ac:dyDescent="0.25">
      <c r="A2434" s="3" t="s">
        <v>2</v>
      </c>
      <c r="B2434" s="3" t="s">
        <v>3</v>
      </c>
      <c r="C2434" s="3" t="s">
        <v>4</v>
      </c>
      <c r="D2434" s="3" t="s">
        <v>5</v>
      </c>
      <c r="E2434" s="3" t="s">
        <v>6</v>
      </c>
      <c r="F2434" s="7" t="s">
        <v>7</v>
      </c>
      <c r="G2434" s="3" t="s">
        <v>8</v>
      </c>
      <c r="H2434" s="7" t="s">
        <v>9</v>
      </c>
      <c r="I2434" s="7" t="s">
        <v>10</v>
      </c>
      <c r="J2434" s="3" t="s">
        <v>11</v>
      </c>
    </row>
    <row r="2435" spans="1:10" ht="134.25" x14ac:dyDescent="0.2">
      <c r="A2435" s="2" t="s">
        <v>1460</v>
      </c>
      <c r="B2435" s="9">
        <v>1</v>
      </c>
      <c r="C2435" s="9">
        <v>1</v>
      </c>
      <c r="D2435" s="10" t="s">
        <v>13</v>
      </c>
      <c r="E2435" s="11" t="s">
        <v>78</v>
      </c>
      <c r="F2435" s="12">
        <v>44</v>
      </c>
      <c r="G2435" s="10" t="s">
        <v>79</v>
      </c>
      <c r="H2435" s="13"/>
      <c r="I2435" s="13"/>
      <c r="J2435" s="10"/>
    </row>
    <row r="2436" spans="1:10" ht="74.25" x14ac:dyDescent="0.2">
      <c r="A2436" s="2" t="s">
        <v>1460</v>
      </c>
      <c r="B2436" s="9">
        <v>1</v>
      </c>
      <c r="C2436" s="9">
        <v>1</v>
      </c>
      <c r="D2436" s="10" t="s">
        <v>20</v>
      </c>
      <c r="E2436" s="11" t="s">
        <v>85</v>
      </c>
      <c r="F2436" s="12">
        <v>1</v>
      </c>
      <c r="G2436" s="10" t="s">
        <v>15</v>
      </c>
      <c r="H2436" s="13"/>
      <c r="I2436" s="6"/>
      <c r="J2436" s="10"/>
    </row>
    <row r="2437" spans="1:10" x14ac:dyDescent="0.2">
      <c r="A2437" s="2" t="s">
        <v>1460</v>
      </c>
      <c r="B2437" s="9">
        <v>1</v>
      </c>
      <c r="C2437" s="9">
        <v>1</v>
      </c>
      <c r="D2437" s="10" t="s">
        <v>22</v>
      </c>
      <c r="E2437" s="11" t="s">
        <v>86</v>
      </c>
      <c r="F2437" s="12">
        <v>1</v>
      </c>
      <c r="G2437" s="10" t="s">
        <v>15</v>
      </c>
      <c r="H2437" s="13"/>
      <c r="I2437" s="6"/>
      <c r="J2437" s="10"/>
    </row>
    <row r="2438" spans="1:10" ht="44.25" x14ac:dyDescent="0.2">
      <c r="A2438" s="2" t="s">
        <v>1460</v>
      </c>
      <c r="B2438" s="9">
        <v>1</v>
      </c>
      <c r="C2438" s="9">
        <v>1</v>
      </c>
      <c r="D2438" s="10" t="s">
        <v>24</v>
      </c>
      <c r="E2438" s="11" t="s">
        <v>87</v>
      </c>
      <c r="F2438" s="12">
        <v>44</v>
      </c>
      <c r="G2438" s="10" t="s">
        <v>79</v>
      </c>
      <c r="H2438" s="13"/>
      <c r="I2438" s="13"/>
      <c r="J2438" s="10"/>
    </row>
    <row r="2439" spans="1:10" ht="74.25" x14ac:dyDescent="0.2">
      <c r="A2439" s="2" t="s">
        <v>1460</v>
      </c>
      <c r="B2439" s="9">
        <v>1</v>
      </c>
      <c r="C2439" s="9">
        <v>1</v>
      </c>
      <c r="D2439" s="10" t="s">
        <v>27</v>
      </c>
      <c r="E2439" s="11" t="s">
        <v>1225</v>
      </c>
      <c r="F2439" s="12">
        <v>340.00000000000006</v>
      </c>
      <c r="G2439" s="10" t="s">
        <v>109</v>
      </c>
      <c r="H2439" s="13"/>
      <c r="I2439" s="13"/>
      <c r="J2439" s="10"/>
    </row>
    <row r="2440" spans="1:10" x14ac:dyDescent="0.2">
      <c r="A2440" s="1" t="s">
        <v>1461</v>
      </c>
      <c r="B2440" s="1"/>
      <c r="C2440" s="1"/>
      <c r="D2440" s="1"/>
      <c r="E2440" s="1"/>
      <c r="F2440" s="1"/>
      <c r="G2440" s="1"/>
      <c r="H2440" s="1" t="s">
        <v>67</v>
      </c>
      <c r="I2440" s="13">
        <f>I2435+I2438+I2439</f>
        <v>0</v>
      </c>
      <c r="J2440" s="1"/>
    </row>
    <row r="2448" spans="1:10" ht="15" x14ac:dyDescent="0.25">
      <c r="A2448" s="3" t="s">
        <v>89</v>
      </c>
      <c r="B2448" s="14"/>
      <c r="C2448" s="14"/>
      <c r="D2448" s="14"/>
      <c r="E2448" s="14"/>
      <c r="F2448" s="14"/>
      <c r="G2448" s="14"/>
      <c r="H2448" s="14"/>
      <c r="I2448" s="7" t="s">
        <v>90</v>
      </c>
    </row>
    <row r="2449" spans="1:10" x14ac:dyDescent="0.2">
      <c r="A2449" s="15" t="s">
        <v>1462</v>
      </c>
      <c r="I2449" s="16">
        <f>I2440</f>
        <v>0</v>
      </c>
    </row>
    <row r="2450" spans="1:10" x14ac:dyDescent="0.2">
      <c r="A2450" s="15"/>
      <c r="I2450" s="15"/>
    </row>
    <row r="2451" spans="1:10" x14ac:dyDescent="0.2">
      <c r="A2451" s="17"/>
      <c r="B2451" s="18"/>
      <c r="C2451" s="18"/>
      <c r="D2451" s="18"/>
      <c r="E2451" s="18"/>
      <c r="F2451" s="18"/>
      <c r="G2451" s="18"/>
      <c r="H2451" s="18"/>
      <c r="I2451" s="17"/>
    </row>
    <row r="2452" spans="1:10" x14ac:dyDescent="0.2">
      <c r="H2452" s="4" t="s">
        <v>95</v>
      </c>
      <c r="I2452" s="13">
        <f>SUM(I2449:I2451)</f>
        <v>0</v>
      </c>
    </row>
    <row r="2456" spans="1:10" ht="15" x14ac:dyDescent="0.25">
      <c r="A2456" s="21" t="s">
        <v>1463</v>
      </c>
      <c r="B2456" s="22"/>
      <c r="C2456" s="22"/>
      <c r="D2456" s="22"/>
      <c r="E2456" s="22"/>
      <c r="F2456" s="22"/>
      <c r="G2456" s="22"/>
      <c r="H2456" s="22"/>
      <c r="I2456" s="22"/>
      <c r="J2456" s="22"/>
    </row>
    <row r="2457" spans="1:10" ht="15" x14ac:dyDescent="0.25">
      <c r="A2457" s="21" t="s">
        <v>1464</v>
      </c>
      <c r="B2457" s="22"/>
      <c r="C2457" s="22"/>
      <c r="D2457" s="22"/>
      <c r="E2457" s="22"/>
      <c r="F2457" s="22"/>
      <c r="G2457" s="22"/>
      <c r="H2457" s="22"/>
      <c r="I2457" s="22"/>
      <c r="J2457" s="22"/>
    </row>
    <row r="2459" spans="1:10" ht="15" x14ac:dyDescent="0.25">
      <c r="A2459" s="3" t="s">
        <v>2</v>
      </c>
      <c r="B2459" s="3" t="s">
        <v>3</v>
      </c>
      <c r="C2459" s="3" t="s">
        <v>4</v>
      </c>
      <c r="D2459" s="3" t="s">
        <v>5</v>
      </c>
      <c r="E2459" s="3" t="s">
        <v>6</v>
      </c>
      <c r="F2459" s="7" t="s">
        <v>7</v>
      </c>
      <c r="G2459" s="3" t="s">
        <v>8</v>
      </c>
      <c r="H2459" s="7" t="s">
        <v>9</v>
      </c>
      <c r="I2459" s="7" t="s">
        <v>10</v>
      </c>
      <c r="J2459" s="3" t="s">
        <v>11</v>
      </c>
    </row>
    <row r="2460" spans="1:10" ht="134.25" x14ac:dyDescent="0.2">
      <c r="A2460" s="2" t="s">
        <v>1465</v>
      </c>
      <c r="B2460" s="9">
        <v>1</v>
      </c>
      <c r="C2460" s="9">
        <v>1</v>
      </c>
      <c r="D2460" s="10" t="s">
        <v>13</v>
      </c>
      <c r="E2460" s="11" t="s">
        <v>1466</v>
      </c>
      <c r="F2460" s="12">
        <v>45</v>
      </c>
      <c r="G2460" s="10" t="s">
        <v>79</v>
      </c>
      <c r="H2460" s="13"/>
      <c r="I2460" s="13"/>
      <c r="J2460" s="10"/>
    </row>
    <row r="2461" spans="1:10" ht="74.25" x14ac:dyDescent="0.2">
      <c r="A2461" s="2" t="s">
        <v>1465</v>
      </c>
      <c r="B2461" s="9">
        <v>1</v>
      </c>
      <c r="C2461" s="9">
        <v>1</v>
      </c>
      <c r="D2461" s="10" t="s">
        <v>16</v>
      </c>
      <c r="E2461" s="11" t="s">
        <v>1225</v>
      </c>
      <c r="F2461" s="12">
        <v>101</v>
      </c>
      <c r="G2461" s="10" t="s">
        <v>109</v>
      </c>
      <c r="H2461" s="13"/>
      <c r="I2461" s="13"/>
      <c r="J2461" s="10"/>
    </row>
    <row r="2462" spans="1:10" ht="44.25" x14ac:dyDescent="0.2">
      <c r="A2462" s="2" t="s">
        <v>1465</v>
      </c>
      <c r="B2462" s="9">
        <v>1</v>
      </c>
      <c r="C2462" s="9">
        <v>1</v>
      </c>
      <c r="D2462" s="10" t="s">
        <v>18</v>
      </c>
      <c r="E2462" s="11" t="s">
        <v>1240</v>
      </c>
      <c r="F2462" s="12">
        <v>101</v>
      </c>
      <c r="G2462" s="10" t="s">
        <v>109</v>
      </c>
      <c r="H2462" s="13"/>
      <c r="I2462" s="13"/>
      <c r="J2462" s="10"/>
    </row>
    <row r="2463" spans="1:10" ht="194.25" x14ac:dyDescent="0.2">
      <c r="A2463" s="2" t="s">
        <v>1465</v>
      </c>
      <c r="B2463" s="9">
        <v>1</v>
      </c>
      <c r="C2463" s="9">
        <v>1</v>
      </c>
      <c r="D2463" s="10" t="s">
        <v>20</v>
      </c>
      <c r="E2463" s="11" t="s">
        <v>1320</v>
      </c>
      <c r="F2463" s="12">
        <v>39</v>
      </c>
      <c r="G2463" s="10" t="s">
        <v>83</v>
      </c>
      <c r="H2463" s="13"/>
      <c r="I2463" s="13"/>
      <c r="J2463" s="10"/>
    </row>
    <row r="2464" spans="1:10" ht="104.25" x14ac:dyDescent="0.2">
      <c r="A2464" s="2" t="s">
        <v>1465</v>
      </c>
      <c r="B2464" s="9">
        <v>1</v>
      </c>
      <c r="C2464" s="9">
        <v>1</v>
      </c>
      <c r="D2464" s="10" t="s">
        <v>22</v>
      </c>
      <c r="E2464" s="11" t="s">
        <v>1250</v>
      </c>
      <c r="F2464" s="12">
        <v>12</v>
      </c>
      <c r="G2464" s="10" t="s">
        <v>79</v>
      </c>
      <c r="H2464" s="13"/>
      <c r="I2464" s="13"/>
      <c r="J2464" s="10"/>
    </row>
    <row r="2465" spans="1:10" x14ac:dyDescent="0.2">
      <c r="A2465" s="1" t="s">
        <v>1467</v>
      </c>
      <c r="B2465" s="1"/>
      <c r="C2465" s="1"/>
      <c r="D2465" s="1"/>
      <c r="E2465" s="1"/>
      <c r="F2465" s="1"/>
      <c r="G2465" s="1"/>
      <c r="H2465" s="1" t="s">
        <v>67</v>
      </c>
      <c r="I2465" s="13">
        <f>I2460+I2461+I2462+I2463+I2464</f>
        <v>0</v>
      </c>
      <c r="J2465" s="1"/>
    </row>
    <row r="2468" spans="1:10" ht="15" x14ac:dyDescent="0.25">
      <c r="A2468" s="21" t="s">
        <v>1468</v>
      </c>
      <c r="B2468" s="22"/>
      <c r="C2468" s="22"/>
      <c r="D2468" s="22"/>
      <c r="E2468" s="22"/>
      <c r="F2468" s="22"/>
      <c r="G2468" s="22"/>
      <c r="H2468" s="22"/>
      <c r="I2468" s="22"/>
      <c r="J2468" s="22"/>
    </row>
    <row r="2469" spans="1:10" ht="15" x14ac:dyDescent="0.25">
      <c r="A2469" s="21" t="s">
        <v>1464</v>
      </c>
      <c r="B2469" s="22"/>
      <c r="C2469" s="22"/>
      <c r="D2469" s="22"/>
      <c r="E2469" s="22"/>
      <c r="F2469" s="22"/>
      <c r="G2469" s="22"/>
      <c r="H2469" s="22"/>
      <c r="I2469" s="22"/>
      <c r="J2469" s="22"/>
    </row>
    <row r="2471" spans="1:10" ht="15" x14ac:dyDescent="0.25">
      <c r="A2471" s="3" t="s">
        <v>2</v>
      </c>
      <c r="B2471" s="3" t="s">
        <v>3</v>
      </c>
      <c r="C2471" s="3" t="s">
        <v>4</v>
      </c>
      <c r="D2471" s="3" t="s">
        <v>5</v>
      </c>
      <c r="E2471" s="3" t="s">
        <v>6</v>
      </c>
      <c r="F2471" s="7" t="s">
        <v>7</v>
      </c>
      <c r="G2471" s="3" t="s">
        <v>8</v>
      </c>
      <c r="H2471" s="7" t="s">
        <v>9</v>
      </c>
      <c r="I2471" s="7" t="s">
        <v>10</v>
      </c>
      <c r="J2471" s="3" t="s">
        <v>11</v>
      </c>
    </row>
    <row r="2472" spans="1:10" ht="74.25" x14ac:dyDescent="0.2">
      <c r="A2472" s="2" t="s">
        <v>1465</v>
      </c>
      <c r="B2472" s="9">
        <v>1</v>
      </c>
      <c r="C2472" s="9">
        <v>2</v>
      </c>
      <c r="D2472" s="10" t="s">
        <v>13</v>
      </c>
      <c r="E2472" s="11" t="s">
        <v>1469</v>
      </c>
      <c r="F2472" s="12">
        <v>36</v>
      </c>
      <c r="G2472" s="10" t="s">
        <v>79</v>
      </c>
      <c r="H2472" s="13"/>
      <c r="I2472" s="13"/>
      <c r="J2472" s="10"/>
    </row>
    <row r="2473" spans="1:10" ht="74.25" x14ac:dyDescent="0.2">
      <c r="A2473" s="2" t="s">
        <v>1465</v>
      </c>
      <c r="B2473" s="9">
        <v>1</v>
      </c>
      <c r="C2473" s="9">
        <v>2</v>
      </c>
      <c r="D2473" s="10" t="s">
        <v>16</v>
      </c>
      <c r="E2473" s="11" t="s">
        <v>1254</v>
      </c>
      <c r="F2473" s="12">
        <v>239</v>
      </c>
      <c r="G2473" s="10" t="s">
        <v>109</v>
      </c>
      <c r="H2473" s="13"/>
      <c r="I2473" s="13"/>
      <c r="J2473" s="10"/>
    </row>
    <row r="2474" spans="1:10" x14ac:dyDescent="0.2">
      <c r="A2474" s="2" t="s">
        <v>1465</v>
      </c>
      <c r="B2474" s="9">
        <v>1</v>
      </c>
      <c r="C2474" s="9">
        <v>2</v>
      </c>
      <c r="D2474" s="10" t="s">
        <v>18</v>
      </c>
      <c r="E2474" s="11" t="s">
        <v>1255</v>
      </c>
      <c r="F2474" s="12">
        <v>239</v>
      </c>
      <c r="G2474" s="10" t="s">
        <v>109</v>
      </c>
      <c r="H2474" s="13"/>
      <c r="I2474" s="13"/>
      <c r="J2474" s="10"/>
    </row>
    <row r="2475" spans="1:10" x14ac:dyDescent="0.2">
      <c r="A2475" s="2" t="s">
        <v>1465</v>
      </c>
      <c r="B2475" s="9">
        <v>1</v>
      </c>
      <c r="C2475" s="9">
        <v>2</v>
      </c>
      <c r="D2475" s="10" t="s">
        <v>20</v>
      </c>
      <c r="E2475" s="11" t="s">
        <v>1256</v>
      </c>
      <c r="F2475" s="12">
        <v>239</v>
      </c>
      <c r="G2475" s="10" t="s">
        <v>109</v>
      </c>
      <c r="H2475" s="13"/>
      <c r="I2475" s="13"/>
      <c r="J2475" s="10"/>
    </row>
    <row r="2476" spans="1:10" ht="119.25" x14ac:dyDescent="0.2">
      <c r="A2476" s="2" t="s">
        <v>1465</v>
      </c>
      <c r="B2476" s="9">
        <v>1</v>
      </c>
      <c r="C2476" s="9">
        <v>2</v>
      </c>
      <c r="D2476" s="10" t="s">
        <v>22</v>
      </c>
      <c r="E2476" s="11" t="s">
        <v>1382</v>
      </c>
      <c r="F2476" s="12">
        <v>131</v>
      </c>
      <c r="G2476" s="10" t="s">
        <v>109</v>
      </c>
      <c r="H2476" s="13"/>
      <c r="I2476" s="13"/>
      <c r="J2476" s="10"/>
    </row>
    <row r="2477" spans="1:10" ht="89.25" x14ac:dyDescent="0.2">
      <c r="A2477" s="2" t="s">
        <v>1465</v>
      </c>
      <c r="B2477" s="9">
        <v>1</v>
      </c>
      <c r="C2477" s="9">
        <v>2</v>
      </c>
      <c r="D2477" s="10" t="s">
        <v>24</v>
      </c>
      <c r="E2477" s="11" t="s">
        <v>1470</v>
      </c>
      <c r="F2477" s="12">
        <v>108</v>
      </c>
      <c r="G2477" s="10" t="s">
        <v>109</v>
      </c>
      <c r="H2477" s="13"/>
      <c r="I2477" s="13"/>
      <c r="J2477" s="10"/>
    </row>
    <row r="2478" spans="1:10" ht="104.25" x14ac:dyDescent="0.2">
      <c r="A2478" s="2" t="s">
        <v>1465</v>
      </c>
      <c r="B2478" s="9">
        <v>1</v>
      </c>
      <c r="C2478" s="9">
        <v>2</v>
      </c>
      <c r="D2478" s="10" t="s">
        <v>27</v>
      </c>
      <c r="E2478" s="11" t="s">
        <v>1274</v>
      </c>
      <c r="F2478" s="12">
        <v>101</v>
      </c>
      <c r="G2478" s="10" t="s">
        <v>109</v>
      </c>
      <c r="H2478" s="13"/>
      <c r="I2478" s="6"/>
      <c r="J2478" s="10"/>
    </row>
    <row r="2479" spans="1:10" x14ac:dyDescent="0.2">
      <c r="A2479" s="1" t="s">
        <v>1471</v>
      </c>
      <c r="B2479" s="1"/>
      <c r="C2479" s="1"/>
      <c r="D2479" s="1"/>
      <c r="E2479" s="1"/>
      <c r="F2479" s="1"/>
      <c r="G2479" s="1"/>
      <c r="H2479" s="1" t="s">
        <v>67</v>
      </c>
      <c r="I2479" s="13">
        <f>I2472+I2473+I2474+I2475+I2476+I2477</f>
        <v>0</v>
      </c>
      <c r="J2479" s="1"/>
    </row>
    <row r="2482" spans="1:10" ht="15" x14ac:dyDescent="0.25">
      <c r="A2482" s="21" t="s">
        <v>1472</v>
      </c>
      <c r="B2482" s="22"/>
      <c r="C2482" s="22"/>
      <c r="D2482" s="22"/>
      <c r="E2482" s="22"/>
      <c r="F2482" s="22"/>
      <c r="G2482" s="22"/>
      <c r="H2482" s="22"/>
      <c r="I2482" s="22"/>
      <c r="J2482" s="22"/>
    </row>
    <row r="2483" spans="1:10" ht="15" x14ac:dyDescent="0.25">
      <c r="A2483" s="21" t="s">
        <v>1464</v>
      </c>
      <c r="B2483" s="22"/>
      <c r="C2483" s="22"/>
      <c r="D2483" s="22"/>
      <c r="E2483" s="22"/>
      <c r="F2483" s="22"/>
      <c r="G2483" s="22"/>
      <c r="H2483" s="22"/>
      <c r="I2483" s="22"/>
      <c r="J2483" s="22"/>
    </row>
    <row r="2485" spans="1:10" ht="15" x14ac:dyDescent="0.25">
      <c r="A2485" s="3" t="s">
        <v>2</v>
      </c>
      <c r="B2485" s="3" t="s">
        <v>3</v>
      </c>
      <c r="C2485" s="3" t="s">
        <v>4</v>
      </c>
      <c r="D2485" s="3" t="s">
        <v>5</v>
      </c>
      <c r="E2485" s="3" t="s">
        <v>6</v>
      </c>
      <c r="F2485" s="7" t="s">
        <v>7</v>
      </c>
      <c r="G2485" s="3" t="s">
        <v>8</v>
      </c>
      <c r="H2485" s="7" t="s">
        <v>9</v>
      </c>
      <c r="I2485" s="7" t="s">
        <v>10</v>
      </c>
      <c r="J2485" s="3" t="s">
        <v>11</v>
      </c>
    </row>
    <row r="2486" spans="1:10" ht="74.25" x14ac:dyDescent="0.2">
      <c r="A2486" s="2" t="s">
        <v>1465</v>
      </c>
      <c r="B2486" s="9">
        <v>1</v>
      </c>
      <c r="C2486" s="9">
        <v>3</v>
      </c>
      <c r="D2486" s="10" t="s">
        <v>13</v>
      </c>
      <c r="E2486" s="11" t="s">
        <v>1271</v>
      </c>
      <c r="F2486" s="12">
        <v>101</v>
      </c>
      <c r="G2486" s="10" t="s">
        <v>109</v>
      </c>
      <c r="H2486" s="13"/>
      <c r="I2486" s="6"/>
      <c r="J2486" s="10"/>
    </row>
    <row r="2487" spans="1:10" ht="74.25" x14ac:dyDescent="0.2">
      <c r="A2487" s="2" t="s">
        <v>1465</v>
      </c>
      <c r="B2487" s="9">
        <v>1</v>
      </c>
      <c r="C2487" s="9">
        <v>3</v>
      </c>
      <c r="D2487" s="10" t="s">
        <v>16</v>
      </c>
      <c r="E2487" s="11" t="s">
        <v>1276</v>
      </c>
      <c r="F2487" s="12">
        <v>15</v>
      </c>
      <c r="G2487" s="10" t="s">
        <v>109</v>
      </c>
      <c r="H2487" s="13"/>
      <c r="I2487" s="6"/>
      <c r="J2487" s="10"/>
    </row>
    <row r="2488" spans="1:10" ht="44.25" x14ac:dyDescent="0.2">
      <c r="A2488" s="2" t="s">
        <v>1465</v>
      </c>
      <c r="B2488" s="9">
        <v>1</v>
      </c>
      <c r="C2488" s="9">
        <v>3</v>
      </c>
      <c r="D2488" s="10" t="s">
        <v>18</v>
      </c>
      <c r="E2488" s="11" t="s">
        <v>1277</v>
      </c>
      <c r="F2488" s="12">
        <v>8</v>
      </c>
      <c r="G2488" s="10" t="s">
        <v>109</v>
      </c>
      <c r="H2488" s="13"/>
      <c r="I2488" s="6"/>
      <c r="J2488" s="10"/>
    </row>
    <row r="2489" spans="1:10" ht="44.25" x14ac:dyDescent="0.2">
      <c r="A2489" s="2" t="s">
        <v>1465</v>
      </c>
      <c r="B2489" s="9">
        <v>1</v>
      </c>
      <c r="C2489" s="9">
        <v>3</v>
      </c>
      <c r="D2489" s="10" t="s">
        <v>20</v>
      </c>
      <c r="E2489" s="11" t="s">
        <v>1328</v>
      </c>
      <c r="F2489" s="12">
        <v>78</v>
      </c>
      <c r="G2489" s="10" t="s">
        <v>109</v>
      </c>
      <c r="H2489" s="13"/>
      <c r="I2489" s="6"/>
      <c r="J2489" s="10"/>
    </row>
    <row r="2490" spans="1:10" ht="74.25" x14ac:dyDescent="0.2">
      <c r="A2490" s="2" t="s">
        <v>1465</v>
      </c>
      <c r="B2490" s="9">
        <v>1</v>
      </c>
      <c r="C2490" s="9">
        <v>3</v>
      </c>
      <c r="D2490" s="10" t="s">
        <v>22</v>
      </c>
      <c r="E2490" s="11" t="s">
        <v>1281</v>
      </c>
      <c r="F2490" s="12">
        <v>101</v>
      </c>
      <c r="G2490" s="10" t="s">
        <v>109</v>
      </c>
      <c r="H2490" s="13"/>
      <c r="I2490" s="6"/>
      <c r="J2490" s="10"/>
    </row>
    <row r="2491" spans="1:10" ht="74.25" x14ac:dyDescent="0.2">
      <c r="A2491" s="2" t="s">
        <v>1465</v>
      </c>
      <c r="B2491" s="9">
        <v>1</v>
      </c>
      <c r="C2491" s="9">
        <v>3</v>
      </c>
      <c r="D2491" s="10" t="s">
        <v>24</v>
      </c>
      <c r="E2491" s="11" t="s">
        <v>1284</v>
      </c>
      <c r="F2491" s="12">
        <v>1</v>
      </c>
      <c r="G2491" s="10" t="s">
        <v>15</v>
      </c>
      <c r="H2491" s="13"/>
      <c r="I2491" s="6"/>
      <c r="J2491" s="10"/>
    </row>
    <row r="2492" spans="1:10" ht="149.25" x14ac:dyDescent="0.2">
      <c r="A2492" s="2" t="s">
        <v>1465</v>
      </c>
      <c r="B2492" s="9">
        <v>1</v>
      </c>
      <c r="C2492" s="9">
        <v>3</v>
      </c>
      <c r="D2492" s="10" t="s">
        <v>27</v>
      </c>
      <c r="E2492" s="11" t="s">
        <v>1331</v>
      </c>
      <c r="F2492" s="12">
        <v>18</v>
      </c>
      <c r="G2492" s="10" t="s">
        <v>83</v>
      </c>
      <c r="H2492" s="13"/>
      <c r="I2492" s="13"/>
      <c r="J2492" s="10"/>
    </row>
    <row r="2493" spans="1:10" x14ac:dyDescent="0.2">
      <c r="A2493" s="1" t="s">
        <v>1473</v>
      </c>
      <c r="B2493" s="1"/>
      <c r="C2493" s="1"/>
      <c r="D2493" s="1"/>
      <c r="E2493" s="1"/>
      <c r="F2493" s="1"/>
      <c r="G2493" s="1"/>
      <c r="H2493" s="1" t="s">
        <v>67</v>
      </c>
      <c r="I2493" s="13">
        <f>I2492</f>
        <v>0</v>
      </c>
      <c r="J2493" s="1"/>
    </row>
    <row r="2496" spans="1:10" ht="15" x14ac:dyDescent="0.25">
      <c r="A2496" s="21" t="s">
        <v>1474</v>
      </c>
      <c r="B2496" s="22"/>
      <c r="C2496" s="22"/>
      <c r="D2496" s="22"/>
      <c r="E2496" s="22"/>
      <c r="F2496" s="22"/>
      <c r="G2496" s="22"/>
      <c r="H2496" s="22"/>
      <c r="I2496" s="22"/>
      <c r="J2496" s="22"/>
    </row>
    <row r="2497" spans="1:10" ht="15" x14ac:dyDescent="0.25">
      <c r="A2497" s="21" t="s">
        <v>1464</v>
      </c>
      <c r="B2497" s="22"/>
      <c r="C2497" s="22"/>
      <c r="D2497" s="22"/>
      <c r="E2497" s="22"/>
      <c r="F2497" s="22"/>
      <c r="G2497" s="22"/>
      <c r="H2497" s="22"/>
      <c r="I2497" s="22"/>
      <c r="J2497" s="22"/>
    </row>
    <row r="2499" spans="1:10" ht="15" x14ac:dyDescent="0.25">
      <c r="A2499" s="3" t="s">
        <v>2</v>
      </c>
      <c r="B2499" s="3" t="s">
        <v>3</v>
      </c>
      <c r="C2499" s="3" t="s">
        <v>4</v>
      </c>
      <c r="D2499" s="3" t="s">
        <v>5</v>
      </c>
      <c r="E2499" s="3" t="s">
        <v>6</v>
      </c>
      <c r="F2499" s="7" t="s">
        <v>7</v>
      </c>
      <c r="G2499" s="3" t="s">
        <v>8</v>
      </c>
      <c r="H2499" s="7" t="s">
        <v>9</v>
      </c>
      <c r="I2499" s="7" t="s">
        <v>10</v>
      </c>
      <c r="J2499" s="3" t="s">
        <v>11</v>
      </c>
    </row>
    <row r="2500" spans="1:10" ht="149.25" x14ac:dyDescent="0.2">
      <c r="A2500" s="2" t="s">
        <v>1465</v>
      </c>
      <c r="B2500" s="9">
        <v>1</v>
      </c>
      <c r="C2500" s="9">
        <v>4</v>
      </c>
      <c r="D2500" s="10" t="s">
        <v>13</v>
      </c>
      <c r="E2500" s="11" t="s">
        <v>1475</v>
      </c>
      <c r="F2500" s="12">
        <v>0</v>
      </c>
      <c r="G2500" s="10" t="s">
        <v>31</v>
      </c>
      <c r="H2500" s="13"/>
      <c r="I2500" s="6"/>
      <c r="J2500" s="10"/>
    </row>
    <row r="2501" spans="1:10" ht="74.25" x14ac:dyDescent="0.2">
      <c r="A2501" s="2" t="s">
        <v>1465</v>
      </c>
      <c r="B2501" s="9">
        <v>1</v>
      </c>
      <c r="C2501" s="9">
        <v>4</v>
      </c>
      <c r="D2501" s="10" t="s">
        <v>16</v>
      </c>
      <c r="E2501" s="11" t="s">
        <v>1476</v>
      </c>
      <c r="F2501" s="12">
        <v>1</v>
      </c>
      <c r="G2501" s="10" t="s">
        <v>31</v>
      </c>
      <c r="H2501" s="13"/>
      <c r="I2501" s="13"/>
      <c r="J2501" s="10"/>
    </row>
    <row r="2502" spans="1:10" ht="59.25" x14ac:dyDescent="0.2">
      <c r="A2502" s="2" t="s">
        <v>1465</v>
      </c>
      <c r="B2502" s="9">
        <v>1</v>
      </c>
      <c r="C2502" s="9">
        <v>4</v>
      </c>
      <c r="D2502" s="10" t="s">
        <v>18</v>
      </c>
      <c r="E2502" s="11" t="s">
        <v>1477</v>
      </c>
      <c r="F2502" s="12">
        <v>1</v>
      </c>
      <c r="G2502" s="10" t="s">
        <v>31</v>
      </c>
      <c r="H2502" s="13"/>
      <c r="I2502" s="13"/>
      <c r="J2502" s="10"/>
    </row>
    <row r="2503" spans="1:10" x14ac:dyDescent="0.2">
      <c r="A2503" s="2" t="s">
        <v>1465</v>
      </c>
      <c r="B2503" s="9">
        <v>1</v>
      </c>
      <c r="C2503" s="9">
        <v>4</v>
      </c>
      <c r="D2503" s="10" t="s">
        <v>20</v>
      </c>
      <c r="E2503" s="11" t="s">
        <v>1478</v>
      </c>
      <c r="F2503" s="12">
        <v>1</v>
      </c>
      <c r="G2503" s="10" t="s">
        <v>31</v>
      </c>
      <c r="H2503" s="13"/>
      <c r="I2503" s="13"/>
      <c r="J2503" s="10"/>
    </row>
    <row r="2504" spans="1:10" ht="59.25" x14ac:dyDescent="0.2">
      <c r="A2504" s="2" t="s">
        <v>1465</v>
      </c>
      <c r="B2504" s="9">
        <v>1</v>
      </c>
      <c r="C2504" s="9">
        <v>4</v>
      </c>
      <c r="D2504" s="10" t="s">
        <v>22</v>
      </c>
      <c r="E2504" s="11" t="s">
        <v>1479</v>
      </c>
      <c r="F2504" s="12">
        <v>3</v>
      </c>
      <c r="G2504" s="10" t="s">
        <v>31</v>
      </c>
      <c r="H2504" s="13"/>
      <c r="I2504" s="13"/>
      <c r="J2504" s="10"/>
    </row>
    <row r="2505" spans="1:10" ht="74.25" x14ac:dyDescent="0.2">
      <c r="A2505" s="2" t="s">
        <v>1465</v>
      </c>
      <c r="B2505" s="9">
        <v>1</v>
      </c>
      <c r="C2505" s="9">
        <v>4</v>
      </c>
      <c r="D2505" s="10" t="s">
        <v>24</v>
      </c>
      <c r="E2505" s="11" t="s">
        <v>1394</v>
      </c>
      <c r="F2505" s="12">
        <v>5</v>
      </c>
      <c r="G2505" s="10" t="s">
        <v>31</v>
      </c>
      <c r="H2505" s="13"/>
      <c r="I2505" s="13"/>
      <c r="J2505" s="10"/>
    </row>
    <row r="2506" spans="1:10" x14ac:dyDescent="0.2">
      <c r="A2506" s="1" t="s">
        <v>1480</v>
      </c>
      <c r="B2506" s="1"/>
      <c r="C2506" s="1"/>
      <c r="D2506" s="1"/>
      <c r="E2506" s="1"/>
      <c r="F2506" s="1"/>
      <c r="G2506" s="1"/>
      <c r="H2506" s="1" t="s">
        <v>67</v>
      </c>
      <c r="I2506" s="13">
        <f>I2501+I2502+I2503+I2504+I2505</f>
        <v>0</v>
      </c>
      <c r="J2506" s="1"/>
    </row>
    <row r="2514" spans="1:10" ht="15" x14ac:dyDescent="0.25">
      <c r="A2514" s="3" t="s">
        <v>89</v>
      </c>
      <c r="B2514" s="14"/>
      <c r="C2514" s="14"/>
      <c r="D2514" s="14"/>
      <c r="E2514" s="14"/>
      <c r="F2514" s="14"/>
      <c r="G2514" s="14"/>
      <c r="H2514" s="14"/>
      <c r="I2514" s="7" t="s">
        <v>90</v>
      </c>
    </row>
    <row r="2515" spans="1:10" x14ac:dyDescent="0.2">
      <c r="A2515" s="15" t="s">
        <v>1481</v>
      </c>
      <c r="I2515" s="16">
        <f>I2465</f>
        <v>0</v>
      </c>
    </row>
    <row r="2516" spans="1:10" x14ac:dyDescent="0.2">
      <c r="A2516" s="15" t="s">
        <v>1482</v>
      </c>
      <c r="I2516" s="16">
        <f>I2479</f>
        <v>0</v>
      </c>
    </row>
    <row r="2517" spans="1:10" x14ac:dyDescent="0.2">
      <c r="A2517" s="15" t="s">
        <v>1483</v>
      </c>
      <c r="I2517" s="16">
        <f>I2493</f>
        <v>0</v>
      </c>
    </row>
    <row r="2518" spans="1:10" x14ac:dyDescent="0.2">
      <c r="A2518" s="15" t="s">
        <v>1484</v>
      </c>
      <c r="I2518" s="16">
        <f>I2506</f>
        <v>0</v>
      </c>
    </row>
    <row r="2519" spans="1:10" x14ac:dyDescent="0.2">
      <c r="A2519" s="15"/>
      <c r="I2519" s="15"/>
    </row>
    <row r="2520" spans="1:10" x14ac:dyDescent="0.2">
      <c r="A2520" s="17"/>
      <c r="B2520" s="18"/>
      <c r="C2520" s="18"/>
      <c r="D2520" s="18"/>
      <c r="E2520" s="18"/>
      <c r="F2520" s="18"/>
      <c r="G2520" s="18"/>
      <c r="H2520" s="18"/>
      <c r="I2520" s="17"/>
    </row>
    <row r="2521" spans="1:10" x14ac:dyDescent="0.2">
      <c r="H2521" s="4" t="s">
        <v>95</v>
      </c>
      <c r="I2521" s="13">
        <f>SUM(I2515:I2520)</f>
        <v>0</v>
      </c>
    </row>
    <row r="2525" spans="1:10" ht="15" x14ac:dyDescent="0.25">
      <c r="A2525" s="21" t="s">
        <v>1485</v>
      </c>
      <c r="B2525" s="22"/>
      <c r="C2525" s="22"/>
      <c r="D2525" s="22"/>
      <c r="E2525" s="22"/>
      <c r="F2525" s="22"/>
      <c r="G2525" s="22"/>
      <c r="H2525" s="22"/>
      <c r="I2525" s="22"/>
      <c r="J2525" s="22"/>
    </row>
    <row r="2526" spans="1:10" ht="15" x14ac:dyDescent="0.25">
      <c r="A2526" s="21" t="s">
        <v>1486</v>
      </c>
      <c r="B2526" s="22"/>
      <c r="C2526" s="22"/>
      <c r="D2526" s="22"/>
      <c r="E2526" s="22"/>
      <c r="F2526" s="22"/>
      <c r="G2526" s="22"/>
      <c r="H2526" s="22"/>
      <c r="I2526" s="22"/>
      <c r="J2526" s="22"/>
    </row>
    <row r="2528" spans="1:10" ht="15" x14ac:dyDescent="0.25">
      <c r="A2528" s="3" t="s">
        <v>2</v>
      </c>
      <c r="B2528" s="3" t="s">
        <v>3</v>
      </c>
      <c r="C2528" s="3" t="s">
        <v>4</v>
      </c>
      <c r="D2528" s="3" t="s">
        <v>5</v>
      </c>
      <c r="E2528" s="3" t="s">
        <v>6</v>
      </c>
      <c r="F2528" s="7" t="s">
        <v>7</v>
      </c>
      <c r="G2528" s="3" t="s">
        <v>8</v>
      </c>
      <c r="H2528" s="7" t="s">
        <v>9</v>
      </c>
      <c r="I2528" s="7" t="s">
        <v>10</v>
      </c>
      <c r="J2528" s="3" t="s">
        <v>11</v>
      </c>
    </row>
    <row r="2529" spans="1:10" ht="179.25" x14ac:dyDescent="0.2">
      <c r="A2529" s="2" t="s">
        <v>1487</v>
      </c>
      <c r="B2529" s="9">
        <v>1</v>
      </c>
      <c r="C2529" s="9">
        <v>1</v>
      </c>
      <c r="D2529" s="10" t="s">
        <v>13</v>
      </c>
      <c r="E2529" s="11" t="s">
        <v>1149</v>
      </c>
      <c r="F2529" s="12">
        <v>28.999999999999996</v>
      </c>
      <c r="G2529" s="10" t="s">
        <v>83</v>
      </c>
      <c r="H2529" s="13"/>
      <c r="I2529" s="13"/>
      <c r="J2529" s="10"/>
    </row>
    <row r="2530" spans="1:10" x14ac:dyDescent="0.2">
      <c r="A2530" s="2" t="s">
        <v>1487</v>
      </c>
      <c r="B2530" s="9">
        <v>1</v>
      </c>
      <c r="C2530" s="9">
        <v>1</v>
      </c>
      <c r="D2530" s="10" t="s">
        <v>16</v>
      </c>
      <c r="E2530" s="11" t="s">
        <v>1150</v>
      </c>
      <c r="F2530" s="12">
        <v>3</v>
      </c>
      <c r="G2530" s="10" t="s">
        <v>31</v>
      </c>
      <c r="H2530" s="13"/>
      <c r="I2530" s="13"/>
      <c r="J2530" s="10"/>
    </row>
    <row r="2531" spans="1:10" x14ac:dyDescent="0.2">
      <c r="A2531" s="2" t="s">
        <v>1487</v>
      </c>
      <c r="B2531" s="9">
        <v>1</v>
      </c>
      <c r="C2531" s="9">
        <v>1</v>
      </c>
      <c r="D2531" s="10" t="s">
        <v>18</v>
      </c>
      <c r="E2531" s="11" t="s">
        <v>1151</v>
      </c>
      <c r="F2531" s="12">
        <v>3</v>
      </c>
      <c r="G2531" s="10" t="s">
        <v>31</v>
      </c>
      <c r="H2531" s="13"/>
      <c r="I2531" s="13"/>
      <c r="J2531" s="10"/>
    </row>
    <row r="2532" spans="1:10" ht="164.25" x14ac:dyDescent="0.2">
      <c r="A2532" s="2" t="s">
        <v>1487</v>
      </c>
      <c r="B2532" s="9">
        <v>1</v>
      </c>
      <c r="C2532" s="9">
        <v>1</v>
      </c>
      <c r="D2532" s="10" t="s">
        <v>20</v>
      </c>
      <c r="E2532" s="11" t="s">
        <v>1152</v>
      </c>
      <c r="F2532" s="12">
        <v>1</v>
      </c>
      <c r="G2532" s="10" t="s">
        <v>83</v>
      </c>
      <c r="H2532" s="13"/>
      <c r="I2532" s="13"/>
      <c r="J2532" s="10"/>
    </row>
    <row r="2533" spans="1:10" ht="89.25" x14ac:dyDescent="0.2">
      <c r="A2533" s="2" t="s">
        <v>1487</v>
      </c>
      <c r="B2533" s="9">
        <v>1</v>
      </c>
      <c r="C2533" s="9">
        <v>1</v>
      </c>
      <c r="D2533" s="10" t="s">
        <v>22</v>
      </c>
      <c r="E2533" s="11" t="s">
        <v>1488</v>
      </c>
      <c r="F2533" s="12">
        <v>1</v>
      </c>
      <c r="G2533" s="10" t="s">
        <v>83</v>
      </c>
      <c r="H2533" s="13"/>
      <c r="I2533" s="13"/>
      <c r="J2533" s="10"/>
    </row>
    <row r="2534" spans="1:10" x14ac:dyDescent="0.2">
      <c r="A2534" s="1" t="s">
        <v>1489</v>
      </c>
      <c r="B2534" s="1"/>
      <c r="C2534" s="1"/>
      <c r="D2534" s="1"/>
      <c r="E2534" s="1"/>
      <c r="F2534" s="1"/>
      <c r="G2534" s="1"/>
      <c r="H2534" s="1" t="s">
        <v>67</v>
      </c>
      <c r="I2534" s="13">
        <f>I2529+I2530+I2531+I2532+I2533</f>
        <v>0</v>
      </c>
      <c r="J2534" s="1"/>
    </row>
    <row r="2537" spans="1:10" ht="15" x14ac:dyDescent="0.25">
      <c r="A2537" s="21" t="s">
        <v>1490</v>
      </c>
      <c r="B2537" s="22"/>
      <c r="C2537" s="22"/>
      <c r="D2537" s="22"/>
      <c r="E2537" s="22"/>
      <c r="F2537" s="22"/>
      <c r="G2537" s="22"/>
      <c r="H2537" s="22"/>
      <c r="I2537" s="22"/>
      <c r="J2537" s="22"/>
    </row>
    <row r="2538" spans="1:10" ht="15" x14ac:dyDescent="0.25">
      <c r="A2538" s="21" t="s">
        <v>1486</v>
      </c>
      <c r="B2538" s="22"/>
      <c r="C2538" s="22"/>
      <c r="D2538" s="22"/>
      <c r="E2538" s="22"/>
      <c r="F2538" s="22"/>
      <c r="G2538" s="22"/>
      <c r="H2538" s="22"/>
      <c r="I2538" s="22"/>
      <c r="J2538" s="22"/>
    </row>
    <row r="2540" spans="1:10" ht="15" x14ac:dyDescent="0.25">
      <c r="A2540" s="3" t="s">
        <v>2</v>
      </c>
      <c r="B2540" s="3" t="s">
        <v>3</v>
      </c>
      <c r="C2540" s="3" t="s">
        <v>4</v>
      </c>
      <c r="D2540" s="3" t="s">
        <v>5</v>
      </c>
      <c r="E2540" s="3" t="s">
        <v>6</v>
      </c>
      <c r="F2540" s="7" t="s">
        <v>7</v>
      </c>
      <c r="G2540" s="3" t="s">
        <v>8</v>
      </c>
      <c r="H2540" s="7" t="s">
        <v>9</v>
      </c>
      <c r="I2540" s="7" t="s">
        <v>10</v>
      </c>
      <c r="J2540" s="3" t="s">
        <v>11</v>
      </c>
    </row>
    <row r="2541" spans="1:10" ht="74.25" x14ac:dyDescent="0.2">
      <c r="A2541" s="2" t="s">
        <v>1487</v>
      </c>
      <c r="B2541" s="9">
        <v>1</v>
      </c>
      <c r="C2541" s="9">
        <v>2</v>
      </c>
      <c r="D2541" s="10" t="s">
        <v>13</v>
      </c>
      <c r="E2541" s="11" t="s">
        <v>1341</v>
      </c>
      <c r="F2541" s="12">
        <v>1</v>
      </c>
      <c r="G2541" s="10" t="s">
        <v>83</v>
      </c>
      <c r="H2541" s="13"/>
      <c r="I2541" s="13"/>
      <c r="J2541" s="10"/>
    </row>
    <row r="2542" spans="1:10" x14ac:dyDescent="0.2">
      <c r="A2542" s="2" t="s">
        <v>1487</v>
      </c>
      <c r="B2542" s="9">
        <v>1</v>
      </c>
      <c r="C2542" s="9">
        <v>2</v>
      </c>
      <c r="D2542" s="10" t="s">
        <v>16</v>
      </c>
      <c r="E2542" s="11" t="s">
        <v>1168</v>
      </c>
      <c r="F2542" s="12">
        <v>8</v>
      </c>
      <c r="G2542" s="10" t="s">
        <v>31</v>
      </c>
      <c r="H2542" s="13"/>
      <c r="I2542" s="13"/>
      <c r="J2542" s="10"/>
    </row>
    <row r="2543" spans="1:10" x14ac:dyDescent="0.2">
      <c r="A2543" s="2" t="s">
        <v>1487</v>
      </c>
      <c r="B2543" s="9">
        <v>1</v>
      </c>
      <c r="C2543" s="9">
        <v>2</v>
      </c>
      <c r="D2543" s="10" t="s">
        <v>18</v>
      </c>
      <c r="E2543" s="11" t="s">
        <v>1175</v>
      </c>
      <c r="F2543" s="12">
        <v>2</v>
      </c>
      <c r="G2543" s="10" t="s">
        <v>31</v>
      </c>
      <c r="H2543" s="13"/>
      <c r="I2543" s="13"/>
      <c r="J2543" s="10"/>
    </row>
    <row r="2544" spans="1:10" ht="74.25" x14ac:dyDescent="0.2">
      <c r="A2544" s="2" t="s">
        <v>1487</v>
      </c>
      <c r="B2544" s="9">
        <v>1</v>
      </c>
      <c r="C2544" s="9">
        <v>2</v>
      </c>
      <c r="D2544" s="10" t="s">
        <v>20</v>
      </c>
      <c r="E2544" s="11" t="s">
        <v>1199</v>
      </c>
      <c r="F2544" s="12">
        <v>1</v>
      </c>
      <c r="G2544" s="10" t="s">
        <v>15</v>
      </c>
      <c r="H2544" s="13"/>
      <c r="I2544" s="13"/>
      <c r="J2544" s="10"/>
    </row>
    <row r="2545" spans="1:10" x14ac:dyDescent="0.2">
      <c r="A2545" s="2" t="s">
        <v>1487</v>
      </c>
      <c r="B2545" s="9">
        <v>1</v>
      </c>
      <c r="C2545" s="9">
        <v>2</v>
      </c>
      <c r="D2545" s="10" t="s">
        <v>22</v>
      </c>
      <c r="E2545" s="11" t="s">
        <v>1200</v>
      </c>
      <c r="F2545" s="12">
        <v>1</v>
      </c>
      <c r="G2545" s="10" t="s">
        <v>15</v>
      </c>
      <c r="H2545" s="13"/>
      <c r="I2545" s="13"/>
      <c r="J2545" s="10"/>
    </row>
    <row r="2546" spans="1:10" ht="44.25" x14ac:dyDescent="0.2">
      <c r="A2546" s="2" t="s">
        <v>1487</v>
      </c>
      <c r="B2546" s="9">
        <v>1</v>
      </c>
      <c r="C2546" s="9">
        <v>2</v>
      </c>
      <c r="D2546" s="10" t="s">
        <v>24</v>
      </c>
      <c r="E2546" s="11" t="s">
        <v>1491</v>
      </c>
      <c r="F2546" s="12">
        <v>1</v>
      </c>
      <c r="G2546" s="10" t="s">
        <v>15</v>
      </c>
      <c r="H2546" s="13"/>
      <c r="I2546" s="13"/>
      <c r="J2546" s="10"/>
    </row>
    <row r="2547" spans="1:10" ht="74.25" x14ac:dyDescent="0.2">
      <c r="A2547" s="2" t="s">
        <v>1487</v>
      </c>
      <c r="B2547" s="9">
        <v>1</v>
      </c>
      <c r="C2547" s="9">
        <v>2</v>
      </c>
      <c r="D2547" s="10" t="s">
        <v>27</v>
      </c>
      <c r="E2547" s="11" t="s">
        <v>1207</v>
      </c>
      <c r="F2547" s="12">
        <v>1</v>
      </c>
      <c r="G2547" s="10" t="s">
        <v>15</v>
      </c>
      <c r="H2547" s="13"/>
      <c r="I2547" s="13"/>
      <c r="J2547" s="10"/>
    </row>
    <row r="2548" spans="1:10" x14ac:dyDescent="0.2">
      <c r="A2548" s="1" t="s">
        <v>1492</v>
      </c>
      <c r="B2548" s="1"/>
      <c r="C2548" s="1"/>
      <c r="D2548" s="1"/>
      <c r="E2548" s="1"/>
      <c r="F2548" s="1"/>
      <c r="G2548" s="1"/>
      <c r="H2548" s="1" t="s">
        <v>67</v>
      </c>
      <c r="I2548" s="13">
        <f>I2541+I2542+I2543+I2544+I2545+I2546+I2547</f>
        <v>0</v>
      </c>
      <c r="J2548" s="1"/>
    </row>
    <row r="2556" spans="1:10" ht="15" x14ac:dyDescent="0.25">
      <c r="A2556" s="3" t="s">
        <v>89</v>
      </c>
      <c r="B2556" s="14"/>
      <c r="C2556" s="14"/>
      <c r="D2556" s="14"/>
      <c r="E2556" s="14"/>
      <c r="F2556" s="14"/>
      <c r="G2556" s="14"/>
      <c r="H2556" s="14"/>
      <c r="I2556" s="7" t="s">
        <v>90</v>
      </c>
    </row>
    <row r="2557" spans="1:10" x14ac:dyDescent="0.2">
      <c r="A2557" s="15" t="s">
        <v>1493</v>
      </c>
      <c r="I2557" s="16">
        <f>I2534</f>
        <v>0</v>
      </c>
    </row>
    <row r="2558" spans="1:10" x14ac:dyDescent="0.2">
      <c r="A2558" s="15" t="s">
        <v>1494</v>
      </c>
      <c r="I2558" s="16">
        <f>I2548</f>
        <v>0</v>
      </c>
    </row>
    <row r="2559" spans="1:10" x14ac:dyDescent="0.2">
      <c r="A2559" s="15"/>
      <c r="I2559" s="15"/>
    </row>
    <row r="2560" spans="1:10" x14ac:dyDescent="0.2">
      <c r="A2560" s="17"/>
      <c r="B2560" s="18"/>
      <c r="C2560" s="18"/>
      <c r="D2560" s="18"/>
      <c r="E2560" s="18"/>
      <c r="F2560" s="18"/>
      <c r="G2560" s="18"/>
      <c r="H2560" s="18"/>
      <c r="I2560" s="17"/>
    </row>
    <row r="2561" spans="1:10" x14ac:dyDescent="0.2">
      <c r="H2561" s="4" t="s">
        <v>95</v>
      </c>
      <c r="I2561" s="13">
        <f>SUM(I2557:I2560)</f>
        <v>0</v>
      </c>
    </row>
    <row r="2565" spans="1:10" ht="15" x14ac:dyDescent="0.25">
      <c r="A2565" s="21" t="s">
        <v>1495</v>
      </c>
      <c r="B2565" s="22"/>
      <c r="C2565" s="22"/>
      <c r="D2565" s="22"/>
      <c r="E2565" s="22"/>
      <c r="F2565" s="22"/>
      <c r="G2565" s="22"/>
      <c r="H2565" s="22"/>
      <c r="I2565" s="22"/>
      <c r="J2565" s="22"/>
    </row>
    <row r="2566" spans="1:10" ht="15" x14ac:dyDescent="0.25">
      <c r="A2566" s="21" t="s">
        <v>1496</v>
      </c>
      <c r="B2566" s="22"/>
      <c r="C2566" s="22"/>
      <c r="D2566" s="22"/>
      <c r="E2566" s="22"/>
      <c r="F2566" s="22"/>
      <c r="G2566" s="22"/>
      <c r="H2566" s="22"/>
      <c r="I2566" s="22"/>
      <c r="J2566" s="22"/>
    </row>
    <row r="2568" spans="1:10" ht="15" x14ac:dyDescent="0.25">
      <c r="A2568" s="3" t="s">
        <v>2</v>
      </c>
      <c r="B2568" s="3" t="s">
        <v>3</v>
      </c>
      <c r="C2568" s="3" t="s">
        <v>4</v>
      </c>
      <c r="D2568" s="3" t="s">
        <v>5</v>
      </c>
      <c r="E2568" s="3" t="s">
        <v>6</v>
      </c>
      <c r="F2568" s="7" t="s">
        <v>7</v>
      </c>
      <c r="G2568" s="3" t="s">
        <v>8</v>
      </c>
      <c r="H2568" s="7" t="s">
        <v>9</v>
      </c>
      <c r="I2568" s="7" t="s">
        <v>10</v>
      </c>
      <c r="J2568" s="3" t="s">
        <v>11</v>
      </c>
    </row>
    <row r="2569" spans="1:10" ht="179.25" x14ac:dyDescent="0.2">
      <c r="A2569" s="2" t="s">
        <v>1497</v>
      </c>
      <c r="B2569" s="9">
        <v>1</v>
      </c>
      <c r="C2569" s="9">
        <v>1</v>
      </c>
      <c r="D2569" s="10" t="s">
        <v>13</v>
      </c>
      <c r="E2569" s="11" t="s">
        <v>1498</v>
      </c>
      <c r="F2569" s="12">
        <v>50</v>
      </c>
      <c r="G2569" s="10" t="s">
        <v>83</v>
      </c>
      <c r="H2569" s="13"/>
      <c r="I2569" s="13"/>
      <c r="J2569" s="10"/>
    </row>
    <row r="2570" spans="1:10" ht="59.25" x14ac:dyDescent="0.2">
      <c r="A2570" s="2" t="s">
        <v>1497</v>
      </c>
      <c r="B2570" s="9">
        <v>1</v>
      </c>
      <c r="C2570" s="9">
        <v>1</v>
      </c>
      <c r="D2570" s="10" t="s">
        <v>16</v>
      </c>
      <c r="E2570" s="11" t="s">
        <v>1499</v>
      </c>
      <c r="F2570" s="12">
        <v>11</v>
      </c>
      <c r="G2570" s="10" t="s">
        <v>83</v>
      </c>
      <c r="H2570" s="13"/>
      <c r="I2570" s="13"/>
      <c r="J2570" s="10"/>
    </row>
    <row r="2571" spans="1:10" ht="74.25" x14ac:dyDescent="0.2">
      <c r="A2571" s="2" t="s">
        <v>1497</v>
      </c>
      <c r="B2571" s="9">
        <v>1</v>
      </c>
      <c r="C2571" s="9">
        <v>1</v>
      </c>
      <c r="D2571" s="10" t="s">
        <v>18</v>
      </c>
      <c r="E2571" s="11" t="s">
        <v>1421</v>
      </c>
      <c r="F2571" s="12">
        <v>50</v>
      </c>
      <c r="G2571" s="10" t="s">
        <v>83</v>
      </c>
      <c r="H2571" s="13"/>
      <c r="I2571" s="13"/>
      <c r="J2571" s="10"/>
    </row>
    <row r="2572" spans="1:10" x14ac:dyDescent="0.2">
      <c r="A2572" s="2" t="s">
        <v>1497</v>
      </c>
      <c r="B2572" s="9">
        <v>1</v>
      </c>
      <c r="C2572" s="9">
        <v>1</v>
      </c>
      <c r="D2572" s="10" t="s">
        <v>20</v>
      </c>
      <c r="E2572" s="11" t="s">
        <v>1422</v>
      </c>
      <c r="F2572" s="12">
        <v>11</v>
      </c>
      <c r="G2572" s="10" t="s">
        <v>83</v>
      </c>
      <c r="H2572" s="13"/>
      <c r="I2572" s="13"/>
      <c r="J2572" s="10"/>
    </row>
    <row r="2573" spans="1:10" ht="74.25" x14ac:dyDescent="0.2">
      <c r="A2573" s="2" t="s">
        <v>1497</v>
      </c>
      <c r="B2573" s="9">
        <v>1</v>
      </c>
      <c r="C2573" s="9">
        <v>1</v>
      </c>
      <c r="D2573" s="10" t="s">
        <v>22</v>
      </c>
      <c r="E2573" s="11" t="s">
        <v>1427</v>
      </c>
      <c r="F2573" s="12">
        <v>1</v>
      </c>
      <c r="G2573" s="10" t="s">
        <v>31</v>
      </c>
      <c r="H2573" s="13"/>
      <c r="I2573" s="13"/>
      <c r="J2573" s="10"/>
    </row>
    <row r="2574" spans="1:10" x14ac:dyDescent="0.2">
      <c r="A2574" s="2" t="s">
        <v>1497</v>
      </c>
      <c r="B2574" s="9">
        <v>1</v>
      </c>
      <c r="C2574" s="9">
        <v>1</v>
      </c>
      <c r="D2574" s="10" t="s">
        <v>24</v>
      </c>
      <c r="E2574" s="11" t="s">
        <v>1428</v>
      </c>
      <c r="F2574" s="12">
        <v>1</v>
      </c>
      <c r="G2574" s="10" t="s">
        <v>31</v>
      </c>
      <c r="H2574" s="13"/>
      <c r="I2574" s="13"/>
      <c r="J2574" s="10"/>
    </row>
    <row r="2575" spans="1:10" ht="74.25" x14ac:dyDescent="0.2">
      <c r="A2575" s="2" t="s">
        <v>1497</v>
      </c>
      <c r="B2575" s="9">
        <v>1</v>
      </c>
      <c r="C2575" s="9">
        <v>1</v>
      </c>
      <c r="D2575" s="10" t="s">
        <v>27</v>
      </c>
      <c r="E2575" s="11" t="s">
        <v>1500</v>
      </c>
      <c r="F2575" s="12">
        <v>50</v>
      </c>
      <c r="G2575" s="10" t="s">
        <v>83</v>
      </c>
      <c r="H2575" s="13"/>
      <c r="I2575" s="13"/>
      <c r="J2575" s="10"/>
    </row>
    <row r="2576" spans="1:10" x14ac:dyDescent="0.2">
      <c r="A2576" s="2" t="s">
        <v>1497</v>
      </c>
      <c r="B2576" s="9">
        <v>1</v>
      </c>
      <c r="C2576" s="9">
        <v>1</v>
      </c>
      <c r="D2576" s="10" t="s">
        <v>29</v>
      </c>
      <c r="E2576" s="11" t="s">
        <v>1501</v>
      </c>
      <c r="F2576" s="12">
        <v>44</v>
      </c>
      <c r="G2576" s="10" t="s">
        <v>83</v>
      </c>
      <c r="H2576" s="13"/>
      <c r="I2576" s="13"/>
      <c r="J2576" s="10"/>
    </row>
    <row r="2577" spans="1:10" x14ac:dyDescent="0.2">
      <c r="A2577" s="1" t="s">
        <v>1502</v>
      </c>
      <c r="B2577" s="1"/>
      <c r="C2577" s="1"/>
      <c r="D2577" s="1"/>
      <c r="E2577" s="1"/>
      <c r="F2577" s="1"/>
      <c r="G2577" s="1"/>
      <c r="H2577" s="1" t="s">
        <v>67</v>
      </c>
      <c r="I2577" s="13">
        <f>I2569+I2570+I2571+I2572+I2573+I2574+I2575+I2576</f>
        <v>0</v>
      </c>
      <c r="J2577" s="1"/>
    </row>
    <row r="2580" spans="1:10" ht="15" x14ac:dyDescent="0.25">
      <c r="A2580" s="21" t="s">
        <v>1503</v>
      </c>
      <c r="B2580" s="22"/>
      <c r="C2580" s="22"/>
      <c r="D2580" s="22"/>
      <c r="E2580" s="22"/>
      <c r="F2580" s="22"/>
      <c r="G2580" s="22"/>
      <c r="H2580" s="22"/>
      <c r="I2580" s="22"/>
      <c r="J2580" s="22"/>
    </row>
    <row r="2581" spans="1:10" ht="15" x14ac:dyDescent="0.25">
      <c r="A2581" s="21" t="s">
        <v>1496</v>
      </c>
      <c r="B2581" s="22"/>
      <c r="C2581" s="22"/>
      <c r="D2581" s="22"/>
      <c r="E2581" s="22"/>
      <c r="F2581" s="22"/>
      <c r="G2581" s="22"/>
      <c r="H2581" s="22"/>
      <c r="I2581" s="22"/>
      <c r="J2581" s="22"/>
    </row>
    <row r="2583" spans="1:10" ht="15" x14ac:dyDescent="0.25">
      <c r="A2583" s="3" t="s">
        <v>2</v>
      </c>
      <c r="B2583" s="3" t="s">
        <v>3</v>
      </c>
      <c r="C2583" s="3" t="s">
        <v>4</v>
      </c>
      <c r="D2583" s="3" t="s">
        <v>5</v>
      </c>
      <c r="E2583" s="3" t="s">
        <v>6</v>
      </c>
      <c r="F2583" s="7" t="s">
        <v>7</v>
      </c>
      <c r="G2583" s="3" t="s">
        <v>8</v>
      </c>
      <c r="H2583" s="7" t="s">
        <v>9</v>
      </c>
      <c r="I2583" s="7" t="s">
        <v>10</v>
      </c>
      <c r="J2583" s="3" t="s">
        <v>11</v>
      </c>
    </row>
    <row r="2584" spans="1:10" ht="74.25" x14ac:dyDescent="0.2">
      <c r="A2584" s="2" t="s">
        <v>1497</v>
      </c>
      <c r="B2584" s="9">
        <v>1</v>
      </c>
      <c r="C2584" s="9">
        <v>2</v>
      </c>
      <c r="D2584" s="10" t="s">
        <v>13</v>
      </c>
      <c r="E2584" s="11" t="s">
        <v>1504</v>
      </c>
      <c r="F2584" s="12">
        <v>2</v>
      </c>
      <c r="G2584" s="10" t="s">
        <v>31</v>
      </c>
      <c r="H2584" s="13"/>
      <c r="I2584" s="13"/>
      <c r="J2584" s="10"/>
    </row>
    <row r="2585" spans="1:10" x14ac:dyDescent="0.2">
      <c r="A2585" s="2" t="s">
        <v>1497</v>
      </c>
      <c r="B2585" s="9">
        <v>1</v>
      </c>
      <c r="C2585" s="9">
        <v>2</v>
      </c>
      <c r="D2585" s="10" t="s">
        <v>16</v>
      </c>
      <c r="E2585" s="11" t="s">
        <v>1437</v>
      </c>
      <c r="F2585" s="12">
        <v>11</v>
      </c>
      <c r="G2585" s="10" t="s">
        <v>31</v>
      </c>
      <c r="H2585" s="13"/>
      <c r="I2585" s="13"/>
      <c r="J2585" s="10"/>
    </row>
    <row r="2586" spans="1:10" x14ac:dyDescent="0.2">
      <c r="A2586" s="2" t="s">
        <v>1497</v>
      </c>
      <c r="B2586" s="9">
        <v>1</v>
      </c>
      <c r="C2586" s="9">
        <v>2</v>
      </c>
      <c r="D2586" s="10" t="s">
        <v>18</v>
      </c>
      <c r="E2586" s="11" t="s">
        <v>1439</v>
      </c>
      <c r="F2586" s="12">
        <v>1</v>
      </c>
      <c r="G2586" s="10" t="s">
        <v>31</v>
      </c>
      <c r="H2586" s="13"/>
      <c r="I2586" s="13"/>
      <c r="J2586" s="10"/>
    </row>
    <row r="2587" spans="1:10" x14ac:dyDescent="0.2">
      <c r="A2587" s="2" t="s">
        <v>1497</v>
      </c>
      <c r="B2587" s="9">
        <v>1</v>
      </c>
      <c r="C2587" s="9">
        <v>2</v>
      </c>
      <c r="D2587" s="10" t="s">
        <v>20</v>
      </c>
      <c r="E2587" s="11" t="s">
        <v>1440</v>
      </c>
      <c r="F2587" s="12">
        <v>1</v>
      </c>
      <c r="G2587" s="10" t="s">
        <v>31</v>
      </c>
      <c r="H2587" s="13"/>
      <c r="I2587" s="13"/>
      <c r="J2587" s="10"/>
    </row>
    <row r="2588" spans="1:10" ht="74.25" x14ac:dyDescent="0.2">
      <c r="A2588" s="2" t="s">
        <v>1497</v>
      </c>
      <c r="B2588" s="9">
        <v>1</v>
      </c>
      <c r="C2588" s="9">
        <v>2</v>
      </c>
      <c r="D2588" s="10" t="s">
        <v>22</v>
      </c>
      <c r="E2588" s="11" t="s">
        <v>1505</v>
      </c>
      <c r="F2588" s="12">
        <v>50</v>
      </c>
      <c r="G2588" s="10" t="s">
        <v>83</v>
      </c>
      <c r="H2588" s="13"/>
      <c r="I2588" s="13"/>
      <c r="J2588" s="10"/>
    </row>
    <row r="2589" spans="1:10" x14ac:dyDescent="0.2">
      <c r="A2589" s="2" t="s">
        <v>1497</v>
      </c>
      <c r="B2589" s="9">
        <v>1</v>
      </c>
      <c r="C2589" s="9">
        <v>2</v>
      </c>
      <c r="D2589" s="10" t="s">
        <v>24</v>
      </c>
      <c r="E2589" s="11" t="s">
        <v>1448</v>
      </c>
      <c r="F2589" s="12">
        <v>11</v>
      </c>
      <c r="G2589" s="10" t="s">
        <v>83</v>
      </c>
      <c r="H2589" s="13"/>
      <c r="I2589" s="13"/>
      <c r="J2589" s="10"/>
    </row>
    <row r="2590" spans="1:10" ht="89.25" x14ac:dyDescent="0.2">
      <c r="A2590" s="2" t="s">
        <v>1497</v>
      </c>
      <c r="B2590" s="9">
        <v>1</v>
      </c>
      <c r="C2590" s="9">
        <v>2</v>
      </c>
      <c r="D2590" s="10" t="s">
        <v>27</v>
      </c>
      <c r="E2590" s="11" t="s">
        <v>1506</v>
      </c>
      <c r="F2590" s="12">
        <v>1</v>
      </c>
      <c r="G2590" s="10" t="s">
        <v>15</v>
      </c>
      <c r="H2590" s="13"/>
      <c r="I2590" s="6"/>
      <c r="J2590" s="10"/>
    </row>
    <row r="2591" spans="1:10" x14ac:dyDescent="0.2">
      <c r="A2591" s="2" t="s">
        <v>1497</v>
      </c>
      <c r="B2591" s="9">
        <v>1</v>
      </c>
      <c r="C2591" s="9">
        <v>2</v>
      </c>
      <c r="D2591" s="10" t="s">
        <v>29</v>
      </c>
      <c r="E2591" s="11" t="s">
        <v>1507</v>
      </c>
      <c r="F2591" s="12">
        <v>1</v>
      </c>
      <c r="G2591" s="10" t="s">
        <v>15</v>
      </c>
      <c r="H2591" s="13"/>
      <c r="I2591" s="6"/>
      <c r="J2591" s="10"/>
    </row>
    <row r="2592" spans="1:10" x14ac:dyDescent="0.2">
      <c r="A2592" s="1" t="s">
        <v>1508</v>
      </c>
      <c r="B2592" s="1"/>
      <c r="C2592" s="1"/>
      <c r="D2592" s="1"/>
      <c r="E2592" s="1"/>
      <c r="F2592" s="1"/>
      <c r="G2592" s="1"/>
      <c r="H2592" s="1" t="s">
        <v>67</v>
      </c>
      <c r="I2592" s="13">
        <f>I2584+I2585+I2586+I2587+I2588+I2589</f>
        <v>0</v>
      </c>
      <c r="J2592" s="1"/>
    </row>
    <row r="2600" spans="1:9" ht="15" x14ac:dyDescent="0.25">
      <c r="A2600" s="3" t="s">
        <v>89</v>
      </c>
      <c r="B2600" s="14"/>
      <c r="C2600" s="14"/>
      <c r="D2600" s="14"/>
      <c r="E2600" s="14"/>
      <c r="F2600" s="14"/>
      <c r="G2600" s="14"/>
      <c r="H2600" s="14"/>
      <c r="I2600" s="7" t="s">
        <v>90</v>
      </c>
    </row>
    <row r="2601" spans="1:9" x14ac:dyDescent="0.2">
      <c r="A2601" s="15" t="s">
        <v>1509</v>
      </c>
      <c r="I2601" s="16">
        <f>I2577</f>
        <v>0</v>
      </c>
    </row>
    <row r="2602" spans="1:9" x14ac:dyDescent="0.2">
      <c r="A2602" s="15" t="s">
        <v>1510</v>
      </c>
      <c r="I2602" s="16">
        <f>I2592</f>
        <v>0</v>
      </c>
    </row>
    <row r="2603" spans="1:9" x14ac:dyDescent="0.2">
      <c r="A2603" s="15"/>
      <c r="I2603" s="15"/>
    </row>
    <row r="2604" spans="1:9" x14ac:dyDescent="0.2">
      <c r="A2604" s="17"/>
      <c r="B2604" s="18"/>
      <c r="C2604" s="18"/>
      <c r="D2604" s="18"/>
      <c r="E2604" s="18"/>
      <c r="F2604" s="18"/>
      <c r="G2604" s="18"/>
      <c r="H2604" s="18"/>
      <c r="I2604" s="17"/>
    </row>
    <row r="2605" spans="1:9" x14ac:dyDescent="0.2">
      <c r="H2605" s="4" t="s">
        <v>95</v>
      </c>
      <c r="I2605" s="13">
        <f>SUM(I2601:I2604)</f>
        <v>0</v>
      </c>
    </row>
    <row r="2609" spans="1:10" ht="15" x14ac:dyDescent="0.25">
      <c r="A2609" s="21" t="s">
        <v>1511</v>
      </c>
      <c r="B2609" s="22"/>
      <c r="C2609" s="22"/>
      <c r="D2609" s="22"/>
      <c r="E2609" s="22"/>
      <c r="F2609" s="22"/>
      <c r="G2609" s="22"/>
      <c r="H2609" s="22"/>
      <c r="I2609" s="22"/>
      <c r="J2609" s="22"/>
    </row>
    <row r="2610" spans="1:10" ht="15" x14ac:dyDescent="0.25">
      <c r="A2610" s="21" t="s">
        <v>1512</v>
      </c>
      <c r="B2610" s="22"/>
      <c r="C2610" s="22"/>
      <c r="D2610" s="22"/>
      <c r="E2610" s="22"/>
      <c r="F2610" s="22"/>
      <c r="G2610" s="22"/>
      <c r="H2610" s="22"/>
      <c r="I2610" s="22"/>
      <c r="J2610" s="22"/>
    </row>
    <row r="2612" spans="1:10" ht="15" x14ac:dyDescent="0.25">
      <c r="A2612" s="3" t="s">
        <v>2</v>
      </c>
      <c r="B2612" s="3" t="s">
        <v>3</v>
      </c>
      <c r="C2612" s="3" t="s">
        <v>4</v>
      </c>
      <c r="D2612" s="3" t="s">
        <v>5</v>
      </c>
      <c r="E2612" s="3" t="s">
        <v>6</v>
      </c>
      <c r="F2612" s="7" t="s">
        <v>7</v>
      </c>
      <c r="G2612" s="3" t="s">
        <v>8</v>
      </c>
      <c r="H2612" s="7" t="s">
        <v>9</v>
      </c>
      <c r="I2612" s="7" t="s">
        <v>10</v>
      </c>
      <c r="J2612" s="3" t="s">
        <v>11</v>
      </c>
    </row>
    <row r="2613" spans="1:10" ht="134.25" x14ac:dyDescent="0.2">
      <c r="A2613" s="2" t="s">
        <v>1513</v>
      </c>
      <c r="B2613" s="9">
        <v>1</v>
      </c>
      <c r="C2613" s="9">
        <v>1</v>
      </c>
      <c r="D2613" s="10" t="s">
        <v>13</v>
      </c>
      <c r="E2613" s="11" t="s">
        <v>1514</v>
      </c>
      <c r="F2613" s="12">
        <v>54</v>
      </c>
      <c r="G2613" s="10" t="s">
        <v>79</v>
      </c>
      <c r="H2613" s="13"/>
      <c r="I2613" s="13"/>
      <c r="J2613" s="10"/>
    </row>
    <row r="2614" spans="1:10" ht="58.5" x14ac:dyDescent="0.2">
      <c r="A2614" s="2" t="s">
        <v>1513</v>
      </c>
      <c r="B2614" s="9">
        <v>1</v>
      </c>
      <c r="C2614" s="9">
        <v>1</v>
      </c>
      <c r="D2614" s="10" t="s">
        <v>16</v>
      </c>
      <c r="E2614" s="11" t="s">
        <v>1367</v>
      </c>
      <c r="F2614" s="12">
        <v>17</v>
      </c>
      <c r="G2614" s="10" t="s">
        <v>79</v>
      </c>
      <c r="H2614" s="13"/>
      <c r="I2614" s="13"/>
      <c r="J2614" s="10"/>
    </row>
    <row r="2615" spans="1:10" ht="74.25" x14ac:dyDescent="0.2">
      <c r="A2615" s="2" t="s">
        <v>1513</v>
      </c>
      <c r="B2615" s="9">
        <v>1</v>
      </c>
      <c r="C2615" s="9">
        <v>1</v>
      </c>
      <c r="D2615" s="10" t="s">
        <v>18</v>
      </c>
      <c r="E2615" s="11" t="s">
        <v>1370</v>
      </c>
      <c r="F2615" s="12">
        <v>389.00000000000006</v>
      </c>
      <c r="G2615" s="10" t="s">
        <v>109</v>
      </c>
      <c r="H2615" s="13"/>
      <c r="I2615" s="13"/>
      <c r="J2615" s="10"/>
    </row>
    <row r="2616" spans="1:10" x14ac:dyDescent="0.2">
      <c r="A2616" s="1" t="s">
        <v>1515</v>
      </c>
      <c r="B2616" s="1"/>
      <c r="C2616" s="1"/>
      <c r="D2616" s="1"/>
      <c r="E2616" s="1"/>
      <c r="F2616" s="1"/>
      <c r="G2616" s="1"/>
      <c r="H2616" s="1" t="s">
        <v>67</v>
      </c>
      <c r="I2616" s="13">
        <f>I2613+I2614+I2615</f>
        <v>0</v>
      </c>
      <c r="J2616" s="1"/>
    </row>
    <row r="2624" spans="1:10" ht="15" x14ac:dyDescent="0.25">
      <c r="A2624" s="3" t="s">
        <v>89</v>
      </c>
      <c r="B2624" s="14"/>
      <c r="C2624" s="14"/>
      <c r="D2624" s="14"/>
      <c r="E2624" s="14"/>
      <c r="F2624" s="14"/>
      <c r="G2624" s="14"/>
      <c r="H2624" s="14"/>
      <c r="I2624" s="7" t="s">
        <v>90</v>
      </c>
    </row>
    <row r="2625" spans="1:10" x14ac:dyDescent="0.2">
      <c r="A2625" s="15" t="s">
        <v>1516</v>
      </c>
      <c r="I2625" s="16">
        <f>I2616</f>
        <v>0</v>
      </c>
    </row>
    <row r="2626" spans="1:10" x14ac:dyDescent="0.2">
      <c r="A2626" s="15"/>
      <c r="I2626" s="15"/>
    </row>
    <row r="2627" spans="1:10" x14ac:dyDescent="0.2">
      <c r="A2627" s="17"/>
      <c r="B2627" s="18"/>
      <c r="C2627" s="18"/>
      <c r="D2627" s="18"/>
      <c r="E2627" s="18"/>
      <c r="F2627" s="18"/>
      <c r="G2627" s="18"/>
      <c r="H2627" s="18"/>
      <c r="I2627" s="17"/>
    </row>
    <row r="2628" spans="1:10" x14ac:dyDescent="0.2">
      <c r="H2628" s="4" t="s">
        <v>95</v>
      </c>
      <c r="I2628" s="13">
        <f>SUM(I2625:I2627)</f>
        <v>0</v>
      </c>
    </row>
    <row r="2632" spans="1:10" ht="15" x14ac:dyDescent="0.25">
      <c r="A2632" s="21" t="s">
        <v>1517</v>
      </c>
      <c r="B2632" s="22"/>
      <c r="C2632" s="22"/>
      <c r="D2632" s="22"/>
      <c r="E2632" s="22"/>
      <c r="F2632" s="22"/>
      <c r="G2632" s="22"/>
      <c r="H2632" s="22"/>
      <c r="I2632" s="22"/>
      <c r="J2632" s="22"/>
    </row>
    <row r="2633" spans="1:10" ht="15" x14ac:dyDescent="0.25">
      <c r="A2633" s="21" t="s">
        <v>1518</v>
      </c>
      <c r="B2633" s="22"/>
      <c r="C2633" s="22"/>
      <c r="D2633" s="22"/>
      <c r="E2633" s="22"/>
      <c r="F2633" s="22"/>
      <c r="G2633" s="22"/>
      <c r="H2633" s="22"/>
      <c r="I2633" s="22"/>
      <c r="J2633" s="22"/>
    </row>
    <row r="2635" spans="1:10" ht="15" x14ac:dyDescent="0.25">
      <c r="A2635" s="3" t="s">
        <v>2</v>
      </c>
      <c r="B2635" s="3" t="s">
        <v>3</v>
      </c>
      <c r="C2635" s="3" t="s">
        <v>4</v>
      </c>
      <c r="D2635" s="3" t="s">
        <v>5</v>
      </c>
      <c r="E2635" s="3" t="s">
        <v>6</v>
      </c>
      <c r="F2635" s="7" t="s">
        <v>7</v>
      </c>
      <c r="G2635" s="3" t="s">
        <v>8</v>
      </c>
      <c r="H2635" s="7" t="s">
        <v>9</v>
      </c>
      <c r="I2635" s="7" t="s">
        <v>10</v>
      </c>
      <c r="J2635" s="3" t="s">
        <v>11</v>
      </c>
    </row>
    <row r="2636" spans="1:10" ht="134.25" x14ac:dyDescent="0.2">
      <c r="A2636" s="2" t="s">
        <v>1519</v>
      </c>
      <c r="B2636" s="9">
        <v>1</v>
      </c>
      <c r="C2636" s="9">
        <v>1</v>
      </c>
      <c r="D2636" s="10" t="s">
        <v>13</v>
      </c>
      <c r="E2636" s="11" t="s">
        <v>1232</v>
      </c>
      <c r="F2636" s="12">
        <v>10</v>
      </c>
      <c r="G2636" s="10" t="s">
        <v>79</v>
      </c>
      <c r="H2636" s="13"/>
      <c r="I2636" s="13"/>
      <c r="J2636" s="10"/>
    </row>
    <row r="2637" spans="1:10" ht="44.25" x14ac:dyDescent="0.2">
      <c r="A2637" s="2" t="s">
        <v>1519</v>
      </c>
      <c r="B2637" s="9">
        <v>1</v>
      </c>
      <c r="C2637" s="9">
        <v>1</v>
      </c>
      <c r="D2637" s="10" t="s">
        <v>16</v>
      </c>
      <c r="E2637" s="11" t="s">
        <v>1219</v>
      </c>
      <c r="F2637" s="12">
        <v>1</v>
      </c>
      <c r="G2637" s="10" t="s">
        <v>15</v>
      </c>
      <c r="H2637" s="13"/>
      <c r="I2637" s="6"/>
      <c r="J2637" s="10"/>
    </row>
    <row r="2638" spans="1:10" x14ac:dyDescent="0.2">
      <c r="A2638" s="2" t="s">
        <v>1519</v>
      </c>
      <c r="B2638" s="9">
        <v>1</v>
      </c>
      <c r="C2638" s="9">
        <v>1</v>
      </c>
      <c r="D2638" s="10" t="s">
        <v>18</v>
      </c>
      <c r="E2638" s="11" t="s">
        <v>1220</v>
      </c>
      <c r="F2638" s="12">
        <v>1</v>
      </c>
      <c r="G2638" s="10" t="s">
        <v>15</v>
      </c>
      <c r="H2638" s="13"/>
      <c r="I2638" s="6"/>
      <c r="J2638" s="10"/>
    </row>
    <row r="2639" spans="1:10" ht="74.25" x14ac:dyDescent="0.2">
      <c r="A2639" s="2" t="s">
        <v>1519</v>
      </c>
      <c r="B2639" s="9">
        <v>1</v>
      </c>
      <c r="C2639" s="9">
        <v>1</v>
      </c>
      <c r="D2639" s="10" t="s">
        <v>20</v>
      </c>
      <c r="E2639" s="11" t="s">
        <v>1234</v>
      </c>
      <c r="F2639" s="12">
        <v>43</v>
      </c>
      <c r="G2639" s="10" t="s">
        <v>109</v>
      </c>
      <c r="H2639" s="13"/>
      <c r="I2639" s="13"/>
      <c r="J2639" s="10"/>
    </row>
    <row r="2640" spans="1:10" ht="74.25" x14ac:dyDescent="0.2">
      <c r="A2640" s="2" t="s">
        <v>1519</v>
      </c>
      <c r="B2640" s="9">
        <v>1</v>
      </c>
      <c r="C2640" s="9">
        <v>1</v>
      </c>
      <c r="D2640" s="10" t="s">
        <v>22</v>
      </c>
      <c r="E2640" s="11" t="s">
        <v>1235</v>
      </c>
      <c r="F2640" s="12">
        <v>43</v>
      </c>
      <c r="G2640" s="10" t="s">
        <v>109</v>
      </c>
      <c r="H2640" s="13"/>
      <c r="I2640" s="13"/>
      <c r="J2640" s="10"/>
    </row>
    <row r="2641" spans="1:10" ht="74.25" x14ac:dyDescent="0.2">
      <c r="A2641" s="2" t="s">
        <v>1519</v>
      </c>
      <c r="B2641" s="9">
        <v>1</v>
      </c>
      <c r="C2641" s="9">
        <v>1</v>
      </c>
      <c r="D2641" s="10" t="s">
        <v>24</v>
      </c>
      <c r="E2641" s="11" t="s">
        <v>85</v>
      </c>
      <c r="F2641" s="12">
        <v>1</v>
      </c>
      <c r="G2641" s="10" t="s">
        <v>15</v>
      </c>
      <c r="H2641" s="13"/>
      <c r="I2641" s="6"/>
      <c r="J2641" s="10"/>
    </row>
    <row r="2642" spans="1:10" x14ac:dyDescent="0.2">
      <c r="A2642" s="2" t="s">
        <v>1519</v>
      </c>
      <c r="B2642" s="9">
        <v>1</v>
      </c>
      <c r="C2642" s="9">
        <v>1</v>
      </c>
      <c r="D2642" s="10" t="s">
        <v>27</v>
      </c>
      <c r="E2642" s="11" t="s">
        <v>86</v>
      </c>
      <c r="F2642" s="12">
        <v>1</v>
      </c>
      <c r="G2642" s="10" t="s">
        <v>15</v>
      </c>
      <c r="H2642" s="13"/>
      <c r="I2642" s="6"/>
      <c r="J2642" s="10"/>
    </row>
    <row r="2643" spans="1:10" ht="44.25" x14ac:dyDescent="0.2">
      <c r="A2643" s="2" t="s">
        <v>1519</v>
      </c>
      <c r="B2643" s="9">
        <v>1</v>
      </c>
      <c r="C2643" s="9">
        <v>1</v>
      </c>
      <c r="D2643" s="10" t="s">
        <v>29</v>
      </c>
      <c r="E2643" s="11" t="s">
        <v>87</v>
      </c>
      <c r="F2643" s="12">
        <v>10</v>
      </c>
      <c r="G2643" s="10" t="s">
        <v>79</v>
      </c>
      <c r="H2643" s="13"/>
      <c r="I2643" s="13"/>
      <c r="J2643" s="10"/>
    </row>
    <row r="2644" spans="1:10" ht="74.25" x14ac:dyDescent="0.2">
      <c r="A2644" s="2" t="s">
        <v>1519</v>
      </c>
      <c r="B2644" s="9">
        <v>1</v>
      </c>
      <c r="C2644" s="9">
        <v>1</v>
      </c>
      <c r="D2644" s="10" t="s">
        <v>32</v>
      </c>
      <c r="E2644" s="11" t="s">
        <v>1239</v>
      </c>
      <c r="F2644" s="12">
        <v>12</v>
      </c>
      <c r="G2644" s="10" t="s">
        <v>79</v>
      </c>
      <c r="H2644" s="13"/>
      <c r="I2644" s="13"/>
      <c r="J2644" s="10"/>
    </row>
    <row r="2645" spans="1:10" x14ac:dyDescent="0.2">
      <c r="A2645" s="1" t="s">
        <v>1520</v>
      </c>
      <c r="B2645" s="1"/>
      <c r="C2645" s="1"/>
      <c r="D2645" s="1"/>
      <c r="E2645" s="1"/>
      <c r="F2645" s="1"/>
      <c r="G2645" s="1"/>
      <c r="H2645" s="1" t="s">
        <v>67</v>
      </c>
      <c r="I2645" s="13">
        <f>I2636+I2639+I2640+I2643+I2644</f>
        <v>0</v>
      </c>
      <c r="J2645" s="1"/>
    </row>
    <row r="2648" spans="1:10" ht="15" x14ac:dyDescent="0.25">
      <c r="A2648" s="21" t="s">
        <v>1521</v>
      </c>
      <c r="B2648" s="22"/>
      <c r="C2648" s="22"/>
      <c r="D2648" s="22"/>
      <c r="E2648" s="22"/>
      <c r="F2648" s="22"/>
      <c r="G2648" s="22"/>
      <c r="H2648" s="22"/>
      <c r="I2648" s="22"/>
      <c r="J2648" s="22"/>
    </row>
    <row r="2649" spans="1:10" ht="15" x14ac:dyDescent="0.25">
      <c r="A2649" s="21" t="s">
        <v>1518</v>
      </c>
      <c r="B2649" s="22"/>
      <c r="C2649" s="22"/>
      <c r="D2649" s="22"/>
      <c r="E2649" s="22"/>
      <c r="F2649" s="22"/>
      <c r="G2649" s="22"/>
      <c r="H2649" s="22"/>
      <c r="I2649" s="22"/>
      <c r="J2649" s="22"/>
    </row>
    <row r="2651" spans="1:10" ht="15" x14ac:dyDescent="0.25">
      <c r="A2651" s="3" t="s">
        <v>2</v>
      </c>
      <c r="B2651" s="3" t="s">
        <v>3</v>
      </c>
      <c r="C2651" s="3" t="s">
        <v>4</v>
      </c>
      <c r="D2651" s="3" t="s">
        <v>5</v>
      </c>
      <c r="E2651" s="3" t="s">
        <v>6</v>
      </c>
      <c r="F2651" s="7" t="s">
        <v>7</v>
      </c>
      <c r="G2651" s="3" t="s">
        <v>8</v>
      </c>
      <c r="H2651" s="7" t="s">
        <v>9</v>
      </c>
      <c r="I2651" s="7" t="s">
        <v>10</v>
      </c>
      <c r="J2651" s="3" t="s">
        <v>11</v>
      </c>
    </row>
    <row r="2652" spans="1:10" ht="74.25" x14ac:dyDescent="0.2">
      <c r="A2652" s="2" t="s">
        <v>1519</v>
      </c>
      <c r="B2652" s="9">
        <v>1</v>
      </c>
      <c r="C2652" s="9">
        <v>2</v>
      </c>
      <c r="D2652" s="10" t="s">
        <v>13</v>
      </c>
      <c r="E2652" s="11" t="s">
        <v>1225</v>
      </c>
      <c r="F2652" s="12">
        <v>38</v>
      </c>
      <c r="G2652" s="10" t="s">
        <v>109</v>
      </c>
      <c r="H2652" s="13"/>
      <c r="I2652" s="13"/>
      <c r="J2652" s="10"/>
    </row>
    <row r="2653" spans="1:10" ht="44.25" x14ac:dyDescent="0.2">
      <c r="A2653" s="2" t="s">
        <v>1519</v>
      </c>
      <c r="B2653" s="9">
        <v>1</v>
      </c>
      <c r="C2653" s="9">
        <v>2</v>
      </c>
      <c r="D2653" s="10" t="s">
        <v>16</v>
      </c>
      <c r="E2653" s="11" t="s">
        <v>1240</v>
      </c>
      <c r="F2653" s="12">
        <v>26</v>
      </c>
      <c r="G2653" s="10" t="s">
        <v>109</v>
      </c>
      <c r="H2653" s="13"/>
      <c r="I2653" s="13"/>
      <c r="J2653" s="10"/>
    </row>
    <row r="2654" spans="1:10" ht="134.25" x14ac:dyDescent="0.2">
      <c r="A2654" s="2" t="s">
        <v>1519</v>
      </c>
      <c r="B2654" s="9">
        <v>1</v>
      </c>
      <c r="C2654" s="9">
        <v>2</v>
      </c>
      <c r="D2654" s="10" t="s">
        <v>18</v>
      </c>
      <c r="E2654" s="11" t="s">
        <v>1522</v>
      </c>
      <c r="F2654" s="12">
        <v>4</v>
      </c>
      <c r="G2654" s="10" t="s">
        <v>79</v>
      </c>
      <c r="H2654" s="13"/>
      <c r="I2654" s="13"/>
      <c r="J2654" s="10"/>
    </row>
    <row r="2655" spans="1:10" ht="44.25" x14ac:dyDescent="0.2">
      <c r="A2655" s="2" t="s">
        <v>1519</v>
      </c>
      <c r="B2655" s="9">
        <v>1</v>
      </c>
      <c r="C2655" s="9">
        <v>2</v>
      </c>
      <c r="D2655" s="10" t="s">
        <v>20</v>
      </c>
      <c r="E2655" s="11" t="s">
        <v>1523</v>
      </c>
      <c r="F2655" s="12">
        <v>1</v>
      </c>
      <c r="G2655" s="10" t="s">
        <v>79</v>
      </c>
      <c r="H2655" s="13"/>
      <c r="I2655" s="13"/>
      <c r="J2655" s="10"/>
    </row>
    <row r="2656" spans="1:10" ht="104.25" x14ac:dyDescent="0.2">
      <c r="A2656" s="2" t="s">
        <v>1519</v>
      </c>
      <c r="B2656" s="9">
        <v>1</v>
      </c>
      <c r="C2656" s="9">
        <v>2</v>
      </c>
      <c r="D2656" s="10" t="s">
        <v>22</v>
      </c>
      <c r="E2656" s="11" t="s">
        <v>1524</v>
      </c>
      <c r="F2656" s="12">
        <v>54</v>
      </c>
      <c r="G2656" s="10" t="s">
        <v>83</v>
      </c>
      <c r="H2656" s="13"/>
      <c r="I2656" s="13"/>
      <c r="J2656" s="10"/>
    </row>
    <row r="2657" spans="1:10" ht="149.25" x14ac:dyDescent="0.2">
      <c r="A2657" s="2" t="s">
        <v>1519</v>
      </c>
      <c r="B2657" s="9">
        <v>1</v>
      </c>
      <c r="C2657" s="9">
        <v>2</v>
      </c>
      <c r="D2657" s="10" t="s">
        <v>24</v>
      </c>
      <c r="E2657" s="11" t="s">
        <v>1525</v>
      </c>
      <c r="F2657" s="12">
        <v>24</v>
      </c>
      <c r="G2657" s="10" t="s">
        <v>109</v>
      </c>
      <c r="H2657" s="13"/>
      <c r="I2657" s="13"/>
      <c r="J2657" s="10"/>
    </row>
    <row r="2658" spans="1:10" x14ac:dyDescent="0.2">
      <c r="A2658" s="1" t="s">
        <v>1526</v>
      </c>
      <c r="B2658" s="1"/>
      <c r="C2658" s="1"/>
      <c r="D2658" s="1"/>
      <c r="E2658" s="1"/>
      <c r="F2658" s="1"/>
      <c r="G2658" s="1"/>
      <c r="H2658" s="1" t="s">
        <v>67</v>
      </c>
      <c r="I2658" s="13">
        <f>I2652+I2653+I2654+I2655+I2656+I2657</f>
        <v>0</v>
      </c>
      <c r="J2658" s="1"/>
    </row>
    <row r="2661" spans="1:10" ht="15" x14ac:dyDescent="0.25">
      <c r="A2661" s="21" t="s">
        <v>1527</v>
      </c>
      <c r="B2661" s="22"/>
      <c r="C2661" s="22"/>
      <c r="D2661" s="22"/>
      <c r="E2661" s="22"/>
      <c r="F2661" s="22"/>
      <c r="G2661" s="22"/>
      <c r="H2661" s="22"/>
      <c r="I2661" s="22"/>
      <c r="J2661" s="22"/>
    </row>
    <row r="2662" spans="1:10" ht="15" x14ac:dyDescent="0.25">
      <c r="A2662" s="21" t="s">
        <v>1518</v>
      </c>
      <c r="B2662" s="22"/>
      <c r="C2662" s="22"/>
      <c r="D2662" s="22"/>
      <c r="E2662" s="22"/>
      <c r="F2662" s="22"/>
      <c r="G2662" s="22"/>
      <c r="H2662" s="22"/>
      <c r="I2662" s="22"/>
      <c r="J2662" s="22"/>
    </row>
    <row r="2664" spans="1:10" ht="15" x14ac:dyDescent="0.25">
      <c r="A2664" s="3" t="s">
        <v>2</v>
      </c>
      <c r="B2664" s="3" t="s">
        <v>3</v>
      </c>
      <c r="C2664" s="3" t="s">
        <v>4</v>
      </c>
      <c r="D2664" s="3" t="s">
        <v>5</v>
      </c>
      <c r="E2664" s="3" t="s">
        <v>6</v>
      </c>
      <c r="F2664" s="7" t="s">
        <v>7</v>
      </c>
      <c r="G2664" s="3" t="s">
        <v>8</v>
      </c>
      <c r="H2664" s="7" t="s">
        <v>9</v>
      </c>
      <c r="I2664" s="7" t="s">
        <v>10</v>
      </c>
      <c r="J2664" s="3" t="s">
        <v>11</v>
      </c>
    </row>
    <row r="2665" spans="1:10" ht="89.25" x14ac:dyDescent="0.2">
      <c r="A2665" s="2" t="s">
        <v>1519</v>
      </c>
      <c r="B2665" s="9">
        <v>1</v>
      </c>
      <c r="C2665" s="9">
        <v>3</v>
      </c>
      <c r="D2665" s="10" t="s">
        <v>13</v>
      </c>
      <c r="E2665" s="11" t="s">
        <v>1528</v>
      </c>
      <c r="F2665" s="12">
        <v>27</v>
      </c>
      <c r="G2665" s="10" t="s">
        <v>83</v>
      </c>
      <c r="H2665" s="13"/>
      <c r="I2665" s="13"/>
      <c r="J2665" s="10"/>
    </row>
    <row r="2666" spans="1:10" ht="134.25" x14ac:dyDescent="0.2">
      <c r="A2666" s="2" t="s">
        <v>1519</v>
      </c>
      <c r="B2666" s="9">
        <v>1</v>
      </c>
      <c r="C2666" s="9">
        <v>3</v>
      </c>
      <c r="D2666" s="10" t="s">
        <v>16</v>
      </c>
      <c r="E2666" s="11" t="s">
        <v>1529</v>
      </c>
      <c r="F2666" s="12">
        <v>6</v>
      </c>
      <c r="G2666" s="10" t="s">
        <v>109</v>
      </c>
      <c r="H2666" s="13"/>
      <c r="I2666" s="13"/>
      <c r="J2666" s="10"/>
    </row>
    <row r="2667" spans="1:10" ht="164.25" x14ac:dyDescent="0.2">
      <c r="A2667" s="2" t="s">
        <v>1519</v>
      </c>
      <c r="B2667" s="9">
        <v>1</v>
      </c>
      <c r="C2667" s="9">
        <v>3</v>
      </c>
      <c r="D2667" s="10" t="s">
        <v>18</v>
      </c>
      <c r="E2667" s="11" t="s">
        <v>1530</v>
      </c>
      <c r="F2667" s="12">
        <v>10</v>
      </c>
      <c r="G2667" s="10" t="s">
        <v>83</v>
      </c>
      <c r="H2667" s="13"/>
      <c r="I2667" s="13"/>
      <c r="J2667" s="10"/>
    </row>
    <row r="2668" spans="1:10" ht="44.25" x14ac:dyDescent="0.2">
      <c r="A2668" s="2" t="s">
        <v>1519</v>
      </c>
      <c r="B2668" s="9">
        <v>1</v>
      </c>
      <c r="C2668" s="9">
        <v>3</v>
      </c>
      <c r="D2668" s="10" t="s">
        <v>20</v>
      </c>
      <c r="E2668" s="11" t="s">
        <v>1531</v>
      </c>
      <c r="F2668" s="12">
        <v>18</v>
      </c>
      <c r="G2668" s="10" t="s">
        <v>31</v>
      </c>
      <c r="H2668" s="13"/>
      <c r="I2668" s="13"/>
      <c r="J2668" s="10"/>
    </row>
    <row r="2669" spans="1:10" x14ac:dyDescent="0.2">
      <c r="A2669" s="1" t="s">
        <v>1532</v>
      </c>
      <c r="B2669" s="1"/>
      <c r="C2669" s="1"/>
      <c r="D2669" s="1"/>
      <c r="E2669" s="1"/>
      <c r="F2669" s="1"/>
      <c r="G2669" s="1"/>
      <c r="H2669" s="1" t="s">
        <v>67</v>
      </c>
      <c r="I2669" s="13">
        <f>I2665+I2666+I2667+I2668</f>
        <v>0</v>
      </c>
      <c r="J2669" s="1"/>
    </row>
    <row r="2672" spans="1:10" ht="15" x14ac:dyDescent="0.25">
      <c r="A2672" s="21" t="s">
        <v>1533</v>
      </c>
      <c r="B2672" s="22"/>
      <c r="C2672" s="22"/>
      <c r="D2672" s="22"/>
      <c r="E2672" s="22"/>
      <c r="F2672" s="22"/>
      <c r="G2672" s="22"/>
      <c r="H2672" s="22"/>
      <c r="I2672" s="22"/>
      <c r="J2672" s="22"/>
    </row>
    <row r="2673" spans="1:10" ht="15" x14ac:dyDescent="0.25">
      <c r="A2673" s="21" t="s">
        <v>1518</v>
      </c>
      <c r="B2673" s="22"/>
      <c r="C2673" s="22"/>
      <c r="D2673" s="22"/>
      <c r="E2673" s="22"/>
      <c r="F2673" s="22"/>
      <c r="G2673" s="22"/>
      <c r="H2673" s="22"/>
      <c r="I2673" s="22"/>
      <c r="J2673" s="22"/>
    </row>
    <row r="2675" spans="1:10" ht="15" x14ac:dyDescent="0.25">
      <c r="A2675" s="3" t="s">
        <v>2</v>
      </c>
      <c r="B2675" s="3" t="s">
        <v>3</v>
      </c>
      <c r="C2675" s="3" t="s">
        <v>4</v>
      </c>
      <c r="D2675" s="3" t="s">
        <v>5</v>
      </c>
      <c r="E2675" s="3" t="s">
        <v>6</v>
      </c>
      <c r="F2675" s="7" t="s">
        <v>7</v>
      </c>
      <c r="G2675" s="3" t="s">
        <v>8</v>
      </c>
      <c r="H2675" s="7" t="s">
        <v>9</v>
      </c>
      <c r="I2675" s="7" t="s">
        <v>10</v>
      </c>
      <c r="J2675" s="3" t="s">
        <v>11</v>
      </c>
    </row>
    <row r="2676" spans="1:10" ht="194.25" x14ac:dyDescent="0.2">
      <c r="A2676" s="2" t="s">
        <v>1519</v>
      </c>
      <c r="B2676" s="9">
        <v>1</v>
      </c>
      <c r="C2676" s="9">
        <v>4</v>
      </c>
      <c r="D2676" s="10" t="s">
        <v>13</v>
      </c>
      <c r="E2676" s="11" t="s">
        <v>1320</v>
      </c>
      <c r="F2676" s="12">
        <v>52</v>
      </c>
      <c r="G2676" s="10" t="s">
        <v>83</v>
      </c>
      <c r="H2676" s="13"/>
      <c r="I2676" s="13"/>
      <c r="J2676" s="10"/>
    </row>
    <row r="2677" spans="1:10" ht="104.25" x14ac:dyDescent="0.2">
      <c r="A2677" s="2" t="s">
        <v>1519</v>
      </c>
      <c r="B2677" s="9">
        <v>1</v>
      </c>
      <c r="C2677" s="9">
        <v>4</v>
      </c>
      <c r="D2677" s="10" t="s">
        <v>16</v>
      </c>
      <c r="E2677" s="11" t="s">
        <v>1250</v>
      </c>
      <c r="F2677" s="12">
        <v>19</v>
      </c>
      <c r="G2677" s="10" t="s">
        <v>79</v>
      </c>
      <c r="H2677" s="13"/>
      <c r="I2677" s="13"/>
      <c r="J2677" s="10"/>
    </row>
    <row r="2678" spans="1:10" x14ac:dyDescent="0.2">
      <c r="A2678" s="2" t="s">
        <v>1519</v>
      </c>
      <c r="B2678" s="9">
        <v>1</v>
      </c>
      <c r="C2678" s="9">
        <v>4</v>
      </c>
      <c r="D2678" s="10" t="s">
        <v>18</v>
      </c>
      <c r="E2678" s="11" t="s">
        <v>1251</v>
      </c>
      <c r="F2678" s="12">
        <v>50</v>
      </c>
      <c r="G2678" s="10" t="s">
        <v>79</v>
      </c>
      <c r="H2678" s="13"/>
      <c r="I2678" s="13"/>
      <c r="J2678" s="10"/>
    </row>
    <row r="2679" spans="1:10" ht="74.25" x14ac:dyDescent="0.2">
      <c r="A2679" s="2" t="s">
        <v>1519</v>
      </c>
      <c r="B2679" s="9">
        <v>1</v>
      </c>
      <c r="C2679" s="9">
        <v>4</v>
      </c>
      <c r="D2679" s="10" t="s">
        <v>20</v>
      </c>
      <c r="E2679" s="11" t="s">
        <v>1254</v>
      </c>
      <c r="F2679" s="12">
        <v>389.00000000000006</v>
      </c>
      <c r="G2679" s="10" t="s">
        <v>109</v>
      </c>
      <c r="H2679" s="13"/>
      <c r="I2679" s="13"/>
      <c r="J2679" s="10"/>
    </row>
    <row r="2680" spans="1:10" x14ac:dyDescent="0.2">
      <c r="A2680" s="2" t="s">
        <v>1519</v>
      </c>
      <c r="B2680" s="9">
        <v>1</v>
      </c>
      <c r="C2680" s="9">
        <v>4</v>
      </c>
      <c r="D2680" s="10" t="s">
        <v>22</v>
      </c>
      <c r="E2680" s="11" t="s">
        <v>1255</v>
      </c>
      <c r="F2680" s="12">
        <v>336</v>
      </c>
      <c r="G2680" s="10" t="s">
        <v>109</v>
      </c>
      <c r="H2680" s="13"/>
      <c r="I2680" s="13"/>
      <c r="J2680" s="10"/>
    </row>
    <row r="2681" spans="1:10" x14ac:dyDescent="0.2">
      <c r="A2681" s="2" t="s">
        <v>1519</v>
      </c>
      <c r="B2681" s="9">
        <v>1</v>
      </c>
      <c r="C2681" s="9">
        <v>4</v>
      </c>
      <c r="D2681" s="10" t="s">
        <v>24</v>
      </c>
      <c r="E2681" s="11" t="s">
        <v>1256</v>
      </c>
      <c r="F2681" s="12">
        <v>389.00000000000006</v>
      </c>
      <c r="G2681" s="10" t="s">
        <v>109</v>
      </c>
      <c r="H2681" s="13"/>
      <c r="I2681" s="13"/>
      <c r="J2681" s="10"/>
    </row>
    <row r="2682" spans="1:10" x14ac:dyDescent="0.2">
      <c r="A2682" s="1" t="s">
        <v>1534</v>
      </c>
      <c r="B2682" s="1"/>
      <c r="C2682" s="1"/>
      <c r="D2682" s="1"/>
      <c r="E2682" s="1"/>
      <c r="F2682" s="1"/>
      <c r="G2682" s="1"/>
      <c r="H2682" s="1" t="s">
        <v>67</v>
      </c>
      <c r="I2682" s="13">
        <f>I2676+I2677+I2678+I2679+I2680+I2681</f>
        <v>0</v>
      </c>
      <c r="J2682" s="1"/>
    </row>
    <row r="2685" spans="1:10" ht="15" x14ac:dyDescent="0.25">
      <c r="A2685" s="21" t="s">
        <v>1535</v>
      </c>
      <c r="B2685" s="22"/>
      <c r="C2685" s="22"/>
      <c r="D2685" s="22"/>
      <c r="E2685" s="22"/>
      <c r="F2685" s="22"/>
      <c r="G2685" s="22"/>
      <c r="H2685" s="22"/>
      <c r="I2685" s="22"/>
      <c r="J2685" s="22"/>
    </row>
    <row r="2686" spans="1:10" ht="15" x14ac:dyDescent="0.25">
      <c r="A2686" s="21" t="s">
        <v>1518</v>
      </c>
      <c r="B2686" s="22"/>
      <c r="C2686" s="22"/>
      <c r="D2686" s="22"/>
      <c r="E2686" s="22"/>
      <c r="F2686" s="22"/>
      <c r="G2686" s="22"/>
      <c r="H2686" s="22"/>
      <c r="I2686" s="22"/>
      <c r="J2686" s="22"/>
    </row>
    <row r="2688" spans="1:10" ht="15" x14ac:dyDescent="0.25">
      <c r="A2688" s="3" t="s">
        <v>2</v>
      </c>
      <c r="B2688" s="3" t="s">
        <v>3</v>
      </c>
      <c r="C2688" s="3" t="s">
        <v>4</v>
      </c>
      <c r="D2688" s="3" t="s">
        <v>5</v>
      </c>
      <c r="E2688" s="3" t="s">
        <v>6</v>
      </c>
      <c r="F2688" s="7" t="s">
        <v>7</v>
      </c>
      <c r="G2688" s="3" t="s">
        <v>8</v>
      </c>
      <c r="H2688" s="7" t="s">
        <v>9</v>
      </c>
      <c r="I2688" s="7" t="s">
        <v>10</v>
      </c>
      <c r="J2688" s="3" t="s">
        <v>11</v>
      </c>
    </row>
    <row r="2689" spans="1:10" ht="134.25" x14ac:dyDescent="0.2">
      <c r="A2689" s="2" t="s">
        <v>1519</v>
      </c>
      <c r="B2689" s="9">
        <v>1</v>
      </c>
      <c r="C2689" s="9">
        <v>5</v>
      </c>
      <c r="D2689" s="10" t="s">
        <v>13</v>
      </c>
      <c r="E2689" s="11" t="s">
        <v>1536</v>
      </c>
      <c r="F2689" s="12">
        <v>52</v>
      </c>
      <c r="G2689" s="10" t="s">
        <v>109</v>
      </c>
      <c r="H2689" s="13"/>
      <c r="I2689" s="13"/>
      <c r="J2689" s="10"/>
    </row>
    <row r="2690" spans="1:10" ht="119.25" x14ac:dyDescent="0.2">
      <c r="A2690" s="2" t="s">
        <v>1519</v>
      </c>
      <c r="B2690" s="9">
        <v>1</v>
      </c>
      <c r="C2690" s="9">
        <v>5</v>
      </c>
      <c r="D2690" s="10" t="s">
        <v>16</v>
      </c>
      <c r="E2690" s="11" t="s">
        <v>1382</v>
      </c>
      <c r="F2690" s="12">
        <v>389.00000000000006</v>
      </c>
      <c r="G2690" s="10" t="s">
        <v>109</v>
      </c>
      <c r="H2690" s="13"/>
      <c r="I2690" s="13"/>
      <c r="J2690" s="10"/>
    </row>
    <row r="2691" spans="1:10" ht="44.25" x14ac:dyDescent="0.2">
      <c r="A2691" s="2" t="s">
        <v>1519</v>
      </c>
      <c r="B2691" s="9">
        <v>1</v>
      </c>
      <c r="C2691" s="9">
        <v>5</v>
      </c>
      <c r="D2691" s="10" t="s">
        <v>18</v>
      </c>
      <c r="E2691" s="11" t="s">
        <v>1537</v>
      </c>
      <c r="F2691" s="12">
        <v>36</v>
      </c>
      <c r="G2691" s="10" t="s">
        <v>83</v>
      </c>
      <c r="H2691" s="13"/>
      <c r="I2691" s="13"/>
      <c r="J2691" s="10"/>
    </row>
    <row r="2692" spans="1:10" ht="44.25" x14ac:dyDescent="0.2">
      <c r="A2692" s="2" t="s">
        <v>1519</v>
      </c>
      <c r="B2692" s="9">
        <v>1</v>
      </c>
      <c r="C2692" s="9">
        <v>5</v>
      </c>
      <c r="D2692" s="10" t="s">
        <v>20</v>
      </c>
      <c r="E2692" s="11" t="s">
        <v>1538</v>
      </c>
      <c r="F2692" s="12">
        <v>36</v>
      </c>
      <c r="G2692" s="10" t="s">
        <v>83</v>
      </c>
      <c r="H2692" s="13"/>
      <c r="I2692" s="13"/>
      <c r="J2692" s="10"/>
    </row>
    <row r="2693" spans="1:10" ht="104.25" x14ac:dyDescent="0.2">
      <c r="A2693" s="2" t="s">
        <v>1519</v>
      </c>
      <c r="B2693" s="9">
        <v>1</v>
      </c>
      <c r="C2693" s="9">
        <v>5</v>
      </c>
      <c r="D2693" s="10" t="s">
        <v>22</v>
      </c>
      <c r="E2693" s="11" t="s">
        <v>1539</v>
      </c>
      <c r="F2693" s="12">
        <v>18</v>
      </c>
      <c r="G2693" s="10" t="s">
        <v>109</v>
      </c>
      <c r="H2693" s="13"/>
      <c r="I2693" s="13"/>
      <c r="J2693" s="10"/>
    </row>
    <row r="2694" spans="1:10" ht="104.25" x14ac:dyDescent="0.2">
      <c r="A2694" s="2" t="s">
        <v>1519</v>
      </c>
      <c r="B2694" s="9">
        <v>1</v>
      </c>
      <c r="C2694" s="9">
        <v>5</v>
      </c>
      <c r="D2694" s="10" t="s">
        <v>24</v>
      </c>
      <c r="E2694" s="11" t="s">
        <v>1274</v>
      </c>
      <c r="F2694" s="12">
        <v>26</v>
      </c>
      <c r="G2694" s="10" t="s">
        <v>109</v>
      </c>
      <c r="H2694" s="13"/>
      <c r="I2694" s="6"/>
      <c r="J2694" s="10"/>
    </row>
    <row r="2695" spans="1:10" x14ac:dyDescent="0.2">
      <c r="A2695" s="1" t="s">
        <v>1540</v>
      </c>
      <c r="B2695" s="1"/>
      <c r="C2695" s="1"/>
      <c r="D2695" s="1"/>
      <c r="E2695" s="1"/>
      <c r="F2695" s="1"/>
      <c r="G2695" s="1"/>
      <c r="H2695" s="1" t="s">
        <v>67</v>
      </c>
      <c r="I2695" s="13">
        <f>I2689+I2690+I2691+I2692+I2693</f>
        <v>0</v>
      </c>
      <c r="J2695" s="1"/>
    </row>
    <row r="2698" spans="1:10" ht="15" x14ac:dyDescent="0.25">
      <c r="A2698" s="21" t="s">
        <v>1541</v>
      </c>
      <c r="B2698" s="22"/>
      <c r="C2698" s="22"/>
      <c r="D2698" s="22"/>
      <c r="E2698" s="22"/>
      <c r="F2698" s="22"/>
      <c r="G2698" s="22"/>
      <c r="H2698" s="22"/>
      <c r="I2698" s="22"/>
      <c r="J2698" s="22"/>
    </row>
    <row r="2699" spans="1:10" ht="15" x14ac:dyDescent="0.25">
      <c r="A2699" s="21" t="s">
        <v>1518</v>
      </c>
      <c r="B2699" s="22"/>
      <c r="C2699" s="22"/>
      <c r="D2699" s="22"/>
      <c r="E2699" s="22"/>
      <c r="F2699" s="22"/>
      <c r="G2699" s="22"/>
      <c r="H2699" s="22"/>
      <c r="I2699" s="22"/>
      <c r="J2699" s="22"/>
    </row>
    <row r="2701" spans="1:10" ht="15" x14ac:dyDescent="0.25">
      <c r="A2701" s="3" t="s">
        <v>2</v>
      </c>
      <c r="B2701" s="3" t="s">
        <v>3</v>
      </c>
      <c r="C2701" s="3" t="s">
        <v>4</v>
      </c>
      <c r="D2701" s="3" t="s">
        <v>5</v>
      </c>
      <c r="E2701" s="3" t="s">
        <v>6</v>
      </c>
      <c r="F2701" s="7" t="s">
        <v>7</v>
      </c>
      <c r="G2701" s="3" t="s">
        <v>8</v>
      </c>
      <c r="H2701" s="7" t="s">
        <v>9</v>
      </c>
      <c r="I2701" s="7" t="s">
        <v>10</v>
      </c>
      <c r="J2701" s="3" t="s">
        <v>11</v>
      </c>
    </row>
    <row r="2702" spans="1:10" ht="74.25" x14ac:dyDescent="0.2">
      <c r="A2702" s="2" t="s">
        <v>1519</v>
      </c>
      <c r="B2702" s="9">
        <v>1</v>
      </c>
      <c r="C2702" s="9">
        <v>6</v>
      </c>
      <c r="D2702" s="10" t="s">
        <v>13</v>
      </c>
      <c r="E2702" s="11" t="s">
        <v>1271</v>
      </c>
      <c r="F2702" s="12">
        <v>26</v>
      </c>
      <c r="G2702" s="10" t="s">
        <v>109</v>
      </c>
      <c r="H2702" s="13"/>
      <c r="I2702" s="6"/>
      <c r="J2702" s="10"/>
    </row>
    <row r="2703" spans="1:10" ht="74.25" x14ac:dyDescent="0.2">
      <c r="A2703" s="2" t="s">
        <v>1519</v>
      </c>
      <c r="B2703" s="9">
        <v>1</v>
      </c>
      <c r="C2703" s="9">
        <v>6</v>
      </c>
      <c r="D2703" s="10" t="s">
        <v>16</v>
      </c>
      <c r="E2703" s="11" t="s">
        <v>1542</v>
      </c>
      <c r="F2703" s="12">
        <v>26</v>
      </c>
      <c r="G2703" s="10" t="s">
        <v>109</v>
      </c>
      <c r="H2703" s="13"/>
      <c r="I2703" s="6"/>
      <c r="J2703" s="10"/>
    </row>
    <row r="2704" spans="1:10" ht="74.25" x14ac:dyDescent="0.2">
      <c r="A2704" s="2" t="s">
        <v>1519</v>
      </c>
      <c r="B2704" s="9">
        <v>1</v>
      </c>
      <c r="C2704" s="9">
        <v>6</v>
      </c>
      <c r="D2704" s="10" t="s">
        <v>18</v>
      </c>
      <c r="E2704" s="11" t="s">
        <v>1281</v>
      </c>
      <c r="F2704" s="12">
        <v>26</v>
      </c>
      <c r="G2704" s="10" t="s">
        <v>109</v>
      </c>
      <c r="H2704" s="13"/>
      <c r="I2704" s="6"/>
      <c r="J2704" s="10"/>
    </row>
    <row r="2705" spans="1:10" ht="74.25" x14ac:dyDescent="0.2">
      <c r="A2705" s="2" t="s">
        <v>1519</v>
      </c>
      <c r="B2705" s="9">
        <v>1</v>
      </c>
      <c r="C2705" s="9">
        <v>6</v>
      </c>
      <c r="D2705" s="10" t="s">
        <v>20</v>
      </c>
      <c r="E2705" s="11" t="s">
        <v>1284</v>
      </c>
      <c r="F2705" s="12">
        <v>1</v>
      </c>
      <c r="G2705" s="10" t="s">
        <v>15</v>
      </c>
      <c r="H2705" s="13"/>
      <c r="I2705" s="6"/>
      <c r="J2705" s="10"/>
    </row>
    <row r="2706" spans="1:10" ht="134.25" x14ac:dyDescent="0.2">
      <c r="A2706" s="2" t="s">
        <v>1519</v>
      </c>
      <c r="B2706" s="9">
        <v>1</v>
      </c>
      <c r="C2706" s="9">
        <v>6</v>
      </c>
      <c r="D2706" s="10" t="s">
        <v>22</v>
      </c>
      <c r="E2706" s="11" t="s">
        <v>1543</v>
      </c>
      <c r="F2706" s="12">
        <v>1</v>
      </c>
      <c r="G2706" s="10" t="s">
        <v>31</v>
      </c>
      <c r="H2706" s="13"/>
      <c r="I2706" s="13"/>
      <c r="J2706" s="10"/>
    </row>
    <row r="2707" spans="1:10" x14ac:dyDescent="0.2">
      <c r="A2707" s="2" t="s">
        <v>1519</v>
      </c>
      <c r="B2707" s="9">
        <v>1</v>
      </c>
      <c r="C2707" s="9">
        <v>6</v>
      </c>
      <c r="D2707" s="10" t="s">
        <v>24</v>
      </c>
      <c r="E2707" s="11" t="s">
        <v>1478</v>
      </c>
      <c r="F2707" s="12">
        <v>1</v>
      </c>
      <c r="G2707" s="10" t="s">
        <v>31</v>
      </c>
      <c r="H2707" s="13"/>
      <c r="I2707" s="13"/>
      <c r="J2707" s="10"/>
    </row>
    <row r="2708" spans="1:10" ht="119.25" x14ac:dyDescent="0.2">
      <c r="A2708" s="2" t="s">
        <v>1519</v>
      </c>
      <c r="B2708" s="9">
        <v>1</v>
      </c>
      <c r="C2708" s="9">
        <v>6</v>
      </c>
      <c r="D2708" s="10" t="s">
        <v>27</v>
      </c>
      <c r="E2708" s="11" t="s">
        <v>1544</v>
      </c>
      <c r="F2708" s="12">
        <v>1</v>
      </c>
      <c r="G2708" s="10" t="s">
        <v>31</v>
      </c>
      <c r="H2708" s="13"/>
      <c r="I2708" s="13"/>
      <c r="J2708" s="10"/>
    </row>
    <row r="2709" spans="1:10" x14ac:dyDescent="0.2">
      <c r="A2709" s="2" t="s">
        <v>1519</v>
      </c>
      <c r="B2709" s="9">
        <v>1</v>
      </c>
      <c r="C2709" s="9">
        <v>6</v>
      </c>
      <c r="D2709" s="10" t="s">
        <v>29</v>
      </c>
      <c r="E2709" s="11" t="s">
        <v>1478</v>
      </c>
      <c r="F2709" s="12">
        <v>1</v>
      </c>
      <c r="G2709" s="10" t="s">
        <v>31</v>
      </c>
      <c r="H2709" s="13"/>
      <c r="I2709" s="13"/>
      <c r="J2709" s="10"/>
    </row>
    <row r="2710" spans="1:10" x14ac:dyDescent="0.2">
      <c r="A2710" s="2" t="s">
        <v>1519</v>
      </c>
      <c r="B2710" s="9">
        <v>1</v>
      </c>
      <c r="C2710" s="9">
        <v>6</v>
      </c>
      <c r="D2710" s="10" t="s">
        <v>32</v>
      </c>
      <c r="E2710" s="11" t="s">
        <v>1545</v>
      </c>
      <c r="F2710" s="12">
        <v>1</v>
      </c>
      <c r="G2710" s="10" t="s">
        <v>31</v>
      </c>
      <c r="H2710" s="13"/>
      <c r="I2710" s="13"/>
      <c r="J2710" s="10"/>
    </row>
    <row r="2711" spans="1:10" x14ac:dyDescent="0.2">
      <c r="A2711" s="2" t="s">
        <v>1519</v>
      </c>
      <c r="B2711" s="9">
        <v>1</v>
      </c>
      <c r="C2711" s="9">
        <v>6</v>
      </c>
      <c r="D2711" s="10" t="s">
        <v>33</v>
      </c>
      <c r="E2711" s="11" t="s">
        <v>1478</v>
      </c>
      <c r="F2711" s="12">
        <v>1</v>
      </c>
      <c r="G2711" s="10" t="s">
        <v>31</v>
      </c>
      <c r="H2711" s="13"/>
      <c r="I2711" s="13"/>
      <c r="J2711" s="10"/>
    </row>
    <row r="2712" spans="1:10" ht="74.25" x14ac:dyDescent="0.2">
      <c r="A2712" s="2" t="s">
        <v>1519</v>
      </c>
      <c r="B2712" s="9">
        <v>1</v>
      </c>
      <c r="C2712" s="9">
        <v>6</v>
      </c>
      <c r="D2712" s="10" t="s">
        <v>34</v>
      </c>
      <c r="E2712" s="11" t="s">
        <v>1394</v>
      </c>
      <c r="F2712" s="12">
        <v>4</v>
      </c>
      <c r="G2712" s="10" t="s">
        <v>31</v>
      </c>
      <c r="H2712" s="13"/>
      <c r="I2712" s="13"/>
      <c r="J2712" s="10"/>
    </row>
    <row r="2713" spans="1:10" x14ac:dyDescent="0.2">
      <c r="A2713" s="1" t="s">
        <v>1546</v>
      </c>
      <c r="B2713" s="1"/>
      <c r="C2713" s="1"/>
      <c r="D2713" s="1"/>
      <c r="E2713" s="1"/>
      <c r="F2713" s="1"/>
      <c r="G2713" s="1"/>
      <c r="H2713" s="1" t="s">
        <v>67</v>
      </c>
      <c r="I2713" s="13">
        <f>I2706+I2707+I2708+I2709+I2710+I2711+I2712</f>
        <v>0</v>
      </c>
      <c r="J2713" s="1"/>
    </row>
    <row r="2721" spans="1:10" ht="15" x14ac:dyDescent="0.25">
      <c r="A2721" s="3" t="s">
        <v>89</v>
      </c>
      <c r="B2721" s="14"/>
      <c r="C2721" s="14"/>
      <c r="D2721" s="14"/>
      <c r="E2721" s="14"/>
      <c r="F2721" s="14"/>
      <c r="G2721" s="14"/>
      <c r="H2721" s="14"/>
      <c r="I2721" s="7" t="s">
        <v>90</v>
      </c>
    </row>
    <row r="2722" spans="1:10" x14ac:dyDescent="0.2">
      <c r="A2722" s="15" t="s">
        <v>1547</v>
      </c>
      <c r="I2722" s="16">
        <f>I2645</f>
        <v>0</v>
      </c>
    </row>
    <row r="2723" spans="1:10" x14ac:dyDescent="0.2">
      <c r="A2723" s="15" t="s">
        <v>1548</v>
      </c>
      <c r="I2723" s="16">
        <f>I2658</f>
        <v>0</v>
      </c>
    </row>
    <row r="2724" spans="1:10" x14ac:dyDescent="0.2">
      <c r="A2724" s="15" t="s">
        <v>1549</v>
      </c>
      <c r="I2724" s="16">
        <f>I2669</f>
        <v>0</v>
      </c>
    </row>
    <row r="2725" spans="1:10" x14ac:dyDescent="0.2">
      <c r="A2725" s="15" t="s">
        <v>1550</v>
      </c>
      <c r="I2725" s="16">
        <f>I2682</f>
        <v>0</v>
      </c>
    </row>
    <row r="2726" spans="1:10" x14ac:dyDescent="0.2">
      <c r="A2726" s="15" t="s">
        <v>1551</v>
      </c>
      <c r="I2726" s="16">
        <f>I2695</f>
        <v>0</v>
      </c>
    </row>
    <row r="2727" spans="1:10" x14ac:dyDescent="0.2">
      <c r="A2727" s="15" t="s">
        <v>1552</v>
      </c>
      <c r="I2727" s="16">
        <f>I2713</f>
        <v>0</v>
      </c>
    </row>
    <row r="2728" spans="1:10" x14ac:dyDescent="0.2">
      <c r="A2728" s="15"/>
      <c r="I2728" s="15"/>
    </row>
    <row r="2729" spans="1:10" x14ac:dyDescent="0.2">
      <c r="A2729" s="17"/>
      <c r="B2729" s="18"/>
      <c r="C2729" s="18"/>
      <c r="D2729" s="18"/>
      <c r="E2729" s="18"/>
      <c r="F2729" s="18"/>
      <c r="G2729" s="18"/>
      <c r="H2729" s="18"/>
      <c r="I2729" s="17"/>
    </row>
    <row r="2730" spans="1:10" x14ac:dyDescent="0.2">
      <c r="H2730" s="4" t="s">
        <v>95</v>
      </c>
      <c r="I2730" s="13">
        <f>SUM(I2722:I2729)</f>
        <v>0</v>
      </c>
    </row>
    <row r="2734" spans="1:10" ht="15" x14ac:dyDescent="0.25">
      <c r="A2734" s="21" t="s">
        <v>1553</v>
      </c>
      <c r="B2734" s="22"/>
      <c r="C2734" s="22"/>
      <c r="D2734" s="22"/>
      <c r="E2734" s="22"/>
      <c r="F2734" s="22"/>
      <c r="G2734" s="22"/>
      <c r="H2734" s="22"/>
      <c r="I2734" s="22"/>
      <c r="J2734" s="22"/>
    </row>
    <row r="2735" spans="1:10" ht="15" x14ac:dyDescent="0.25">
      <c r="A2735" s="21" t="s">
        <v>1554</v>
      </c>
      <c r="B2735" s="22"/>
      <c r="C2735" s="22"/>
      <c r="D2735" s="22"/>
      <c r="E2735" s="22"/>
      <c r="F2735" s="22"/>
      <c r="G2735" s="22"/>
      <c r="H2735" s="22"/>
      <c r="I2735" s="22"/>
      <c r="J2735" s="22"/>
    </row>
    <row r="2737" spans="1:10" ht="15" x14ac:dyDescent="0.25">
      <c r="A2737" s="3" t="s">
        <v>2</v>
      </c>
      <c r="B2737" s="3" t="s">
        <v>3</v>
      </c>
      <c r="C2737" s="3" t="s">
        <v>4</v>
      </c>
      <c r="D2737" s="3" t="s">
        <v>5</v>
      </c>
      <c r="E2737" s="3" t="s">
        <v>6</v>
      </c>
      <c r="F2737" s="7" t="s">
        <v>7</v>
      </c>
      <c r="G2737" s="3" t="s">
        <v>8</v>
      </c>
      <c r="H2737" s="7" t="s">
        <v>9</v>
      </c>
      <c r="I2737" s="7" t="s">
        <v>10</v>
      </c>
      <c r="J2737" s="3" t="s">
        <v>11</v>
      </c>
    </row>
    <row r="2738" spans="1:10" ht="179.25" x14ac:dyDescent="0.2">
      <c r="A2738" s="2" t="s">
        <v>1555</v>
      </c>
      <c r="B2738" s="9">
        <v>1</v>
      </c>
      <c r="C2738" s="9">
        <v>1</v>
      </c>
      <c r="D2738" s="10" t="s">
        <v>13</v>
      </c>
      <c r="E2738" s="11" t="s">
        <v>1556</v>
      </c>
      <c r="F2738" s="12">
        <v>31</v>
      </c>
      <c r="G2738" s="10" t="s">
        <v>83</v>
      </c>
      <c r="H2738" s="13"/>
      <c r="I2738" s="13"/>
      <c r="J2738" s="10"/>
    </row>
    <row r="2739" spans="1:10" x14ac:dyDescent="0.2">
      <c r="A2739" s="2" t="s">
        <v>1555</v>
      </c>
      <c r="B2739" s="9">
        <v>1</v>
      </c>
      <c r="C2739" s="9">
        <v>1</v>
      </c>
      <c r="D2739" s="10" t="s">
        <v>16</v>
      </c>
      <c r="E2739" s="11" t="s">
        <v>1150</v>
      </c>
      <c r="F2739" s="12">
        <v>4</v>
      </c>
      <c r="G2739" s="10" t="s">
        <v>31</v>
      </c>
      <c r="H2739" s="13"/>
      <c r="I2739" s="13"/>
      <c r="J2739" s="10"/>
    </row>
    <row r="2740" spans="1:10" x14ac:dyDescent="0.2">
      <c r="A2740" s="2" t="s">
        <v>1555</v>
      </c>
      <c r="B2740" s="9">
        <v>1</v>
      </c>
      <c r="C2740" s="9">
        <v>1</v>
      </c>
      <c r="D2740" s="10" t="s">
        <v>18</v>
      </c>
      <c r="E2740" s="11" t="s">
        <v>1151</v>
      </c>
      <c r="F2740" s="12">
        <v>2</v>
      </c>
      <c r="G2740" s="10" t="s">
        <v>31</v>
      </c>
      <c r="H2740" s="13"/>
      <c r="I2740" s="13"/>
      <c r="J2740" s="10"/>
    </row>
    <row r="2741" spans="1:10" ht="74.25" x14ac:dyDescent="0.2">
      <c r="A2741" s="2" t="s">
        <v>1555</v>
      </c>
      <c r="B2741" s="9">
        <v>1</v>
      </c>
      <c r="C2741" s="9">
        <v>1</v>
      </c>
      <c r="D2741" s="10" t="s">
        <v>20</v>
      </c>
      <c r="E2741" s="11" t="s">
        <v>1404</v>
      </c>
      <c r="F2741" s="12">
        <v>4</v>
      </c>
      <c r="G2741" s="10" t="s">
        <v>83</v>
      </c>
      <c r="H2741" s="13"/>
      <c r="I2741" s="13"/>
      <c r="J2741" s="10"/>
    </row>
    <row r="2742" spans="1:10" x14ac:dyDescent="0.2">
      <c r="A2742" s="2" t="s">
        <v>1555</v>
      </c>
      <c r="B2742" s="9">
        <v>1</v>
      </c>
      <c r="C2742" s="9">
        <v>1</v>
      </c>
      <c r="D2742" s="10" t="s">
        <v>22</v>
      </c>
      <c r="E2742" s="11" t="s">
        <v>1150</v>
      </c>
      <c r="F2742" s="12">
        <v>2</v>
      </c>
      <c r="G2742" s="10" t="s">
        <v>31</v>
      </c>
      <c r="H2742" s="13"/>
      <c r="I2742" s="13"/>
      <c r="J2742" s="10"/>
    </row>
    <row r="2743" spans="1:10" x14ac:dyDescent="0.2">
      <c r="A2743" s="2" t="s">
        <v>1555</v>
      </c>
      <c r="B2743" s="9">
        <v>1</v>
      </c>
      <c r="C2743" s="9">
        <v>1</v>
      </c>
      <c r="D2743" s="10" t="s">
        <v>24</v>
      </c>
      <c r="E2743" s="11" t="s">
        <v>1151</v>
      </c>
      <c r="F2743" s="12">
        <v>4</v>
      </c>
      <c r="G2743" s="10" t="s">
        <v>31</v>
      </c>
      <c r="H2743" s="13"/>
      <c r="I2743" s="13"/>
      <c r="J2743" s="10"/>
    </row>
    <row r="2744" spans="1:10" ht="164.25" x14ac:dyDescent="0.2">
      <c r="A2744" s="2" t="s">
        <v>1555</v>
      </c>
      <c r="B2744" s="9">
        <v>1</v>
      </c>
      <c r="C2744" s="9">
        <v>1</v>
      </c>
      <c r="D2744" s="10" t="s">
        <v>27</v>
      </c>
      <c r="E2744" s="11" t="s">
        <v>1152</v>
      </c>
      <c r="F2744" s="12">
        <v>8</v>
      </c>
      <c r="G2744" s="10" t="s">
        <v>83</v>
      </c>
      <c r="H2744" s="13"/>
      <c r="I2744" s="13"/>
      <c r="J2744" s="10"/>
    </row>
    <row r="2745" spans="1:10" x14ac:dyDescent="0.2">
      <c r="A2745" s="1" t="s">
        <v>1557</v>
      </c>
      <c r="B2745" s="1"/>
      <c r="C2745" s="1"/>
      <c r="D2745" s="1"/>
      <c r="E2745" s="1"/>
      <c r="F2745" s="1"/>
      <c r="G2745" s="1"/>
      <c r="H2745" s="1" t="s">
        <v>67</v>
      </c>
      <c r="I2745" s="13">
        <f>I2738+I2739+I2740+I2741+I2742+I2743+I2744</f>
        <v>0</v>
      </c>
      <c r="J2745" s="1"/>
    </row>
    <row r="2748" spans="1:10" ht="15" x14ac:dyDescent="0.25">
      <c r="A2748" s="21" t="s">
        <v>1558</v>
      </c>
      <c r="B2748" s="22"/>
      <c r="C2748" s="22"/>
      <c r="D2748" s="22"/>
      <c r="E2748" s="22"/>
      <c r="F2748" s="22"/>
      <c r="G2748" s="22"/>
      <c r="H2748" s="22"/>
      <c r="I2748" s="22"/>
      <c r="J2748" s="22"/>
    </row>
    <row r="2749" spans="1:10" ht="15" x14ac:dyDescent="0.25">
      <c r="A2749" s="21" t="s">
        <v>1554</v>
      </c>
      <c r="B2749" s="22"/>
      <c r="C2749" s="22"/>
      <c r="D2749" s="22"/>
      <c r="E2749" s="22"/>
      <c r="F2749" s="22"/>
      <c r="G2749" s="22"/>
      <c r="H2749" s="22"/>
      <c r="I2749" s="22"/>
      <c r="J2749" s="22"/>
    </row>
    <row r="2751" spans="1:10" ht="15" x14ac:dyDescent="0.25">
      <c r="A2751" s="3" t="s">
        <v>2</v>
      </c>
      <c r="B2751" s="3" t="s">
        <v>3</v>
      </c>
      <c r="C2751" s="3" t="s">
        <v>4</v>
      </c>
      <c r="D2751" s="3" t="s">
        <v>5</v>
      </c>
      <c r="E2751" s="3" t="s">
        <v>6</v>
      </c>
      <c r="F2751" s="7" t="s">
        <v>7</v>
      </c>
      <c r="G2751" s="3" t="s">
        <v>8</v>
      </c>
      <c r="H2751" s="7" t="s">
        <v>9</v>
      </c>
      <c r="I2751" s="7" t="s">
        <v>10</v>
      </c>
      <c r="J2751" s="3" t="s">
        <v>11</v>
      </c>
    </row>
    <row r="2752" spans="1:10" ht="89.25" x14ac:dyDescent="0.2">
      <c r="A2752" s="2" t="s">
        <v>1555</v>
      </c>
      <c r="B2752" s="9">
        <v>1</v>
      </c>
      <c r="C2752" s="9">
        <v>2</v>
      </c>
      <c r="D2752" s="10" t="s">
        <v>13</v>
      </c>
      <c r="E2752" s="11" t="s">
        <v>1407</v>
      </c>
      <c r="F2752" s="12">
        <v>3</v>
      </c>
      <c r="G2752" s="10" t="s">
        <v>83</v>
      </c>
      <c r="H2752" s="13"/>
      <c r="I2752" s="13"/>
      <c r="J2752" s="10"/>
    </row>
    <row r="2753" spans="1:10" x14ac:dyDescent="0.2">
      <c r="A2753" s="2" t="s">
        <v>1555</v>
      </c>
      <c r="B2753" s="9">
        <v>1</v>
      </c>
      <c r="C2753" s="9">
        <v>2</v>
      </c>
      <c r="D2753" s="10" t="s">
        <v>16</v>
      </c>
      <c r="E2753" s="11" t="s">
        <v>1166</v>
      </c>
      <c r="F2753" s="12">
        <v>5</v>
      </c>
      <c r="G2753" s="10" t="s">
        <v>83</v>
      </c>
      <c r="H2753" s="13"/>
      <c r="I2753" s="13"/>
      <c r="J2753" s="10"/>
    </row>
    <row r="2754" spans="1:10" ht="74.25" x14ac:dyDescent="0.2">
      <c r="A2754" s="2" t="s">
        <v>1555</v>
      </c>
      <c r="B2754" s="9">
        <v>1</v>
      </c>
      <c r="C2754" s="9">
        <v>2</v>
      </c>
      <c r="D2754" s="10" t="s">
        <v>18</v>
      </c>
      <c r="E2754" s="11" t="s">
        <v>1408</v>
      </c>
      <c r="F2754" s="12">
        <v>3</v>
      </c>
      <c r="G2754" s="10" t="s">
        <v>83</v>
      </c>
      <c r="H2754" s="13"/>
      <c r="I2754" s="13"/>
      <c r="J2754" s="10"/>
    </row>
    <row r="2755" spans="1:10" x14ac:dyDescent="0.2">
      <c r="A2755" s="2" t="s">
        <v>1555</v>
      </c>
      <c r="B2755" s="9">
        <v>1</v>
      </c>
      <c r="C2755" s="9">
        <v>2</v>
      </c>
      <c r="D2755" s="10" t="s">
        <v>20</v>
      </c>
      <c r="E2755" s="11" t="s">
        <v>1168</v>
      </c>
      <c r="F2755" s="12">
        <v>8</v>
      </c>
      <c r="G2755" s="10" t="s">
        <v>31</v>
      </c>
      <c r="H2755" s="13"/>
      <c r="I2755" s="13"/>
      <c r="J2755" s="10"/>
    </row>
    <row r="2756" spans="1:10" x14ac:dyDescent="0.2">
      <c r="A2756" s="2" t="s">
        <v>1555</v>
      </c>
      <c r="B2756" s="9">
        <v>1</v>
      </c>
      <c r="C2756" s="9">
        <v>2</v>
      </c>
      <c r="D2756" s="10" t="s">
        <v>22</v>
      </c>
      <c r="E2756" s="11" t="s">
        <v>1174</v>
      </c>
      <c r="F2756" s="12">
        <v>5</v>
      </c>
      <c r="G2756" s="10" t="s">
        <v>83</v>
      </c>
      <c r="H2756" s="13"/>
      <c r="I2756" s="13"/>
      <c r="J2756" s="10"/>
    </row>
    <row r="2757" spans="1:10" x14ac:dyDescent="0.2">
      <c r="A2757" s="2" t="s">
        <v>1555</v>
      </c>
      <c r="B2757" s="9">
        <v>1</v>
      </c>
      <c r="C2757" s="9">
        <v>2</v>
      </c>
      <c r="D2757" s="10" t="s">
        <v>24</v>
      </c>
      <c r="E2757" s="11" t="s">
        <v>1168</v>
      </c>
      <c r="F2757" s="12">
        <v>8</v>
      </c>
      <c r="G2757" s="10" t="s">
        <v>31</v>
      </c>
      <c r="H2757" s="13"/>
      <c r="I2757" s="13"/>
      <c r="J2757" s="10"/>
    </row>
    <row r="2758" spans="1:10" ht="74.25" x14ac:dyDescent="0.2">
      <c r="A2758" s="2" t="s">
        <v>1555</v>
      </c>
      <c r="B2758" s="9">
        <v>1</v>
      </c>
      <c r="C2758" s="9">
        <v>2</v>
      </c>
      <c r="D2758" s="10" t="s">
        <v>27</v>
      </c>
      <c r="E2758" s="11" t="s">
        <v>1199</v>
      </c>
      <c r="F2758" s="12">
        <v>1</v>
      </c>
      <c r="G2758" s="10" t="s">
        <v>15</v>
      </c>
      <c r="H2758" s="13"/>
      <c r="I2758" s="13"/>
      <c r="J2758" s="10"/>
    </row>
    <row r="2759" spans="1:10" x14ac:dyDescent="0.2">
      <c r="A2759" s="2" t="s">
        <v>1555</v>
      </c>
      <c r="B2759" s="9">
        <v>1</v>
      </c>
      <c r="C2759" s="9">
        <v>2</v>
      </c>
      <c r="D2759" s="10" t="s">
        <v>29</v>
      </c>
      <c r="E2759" s="11" t="s">
        <v>1200</v>
      </c>
      <c r="F2759" s="12">
        <v>1</v>
      </c>
      <c r="G2759" s="10" t="s">
        <v>15</v>
      </c>
      <c r="H2759" s="13"/>
      <c r="I2759" s="13"/>
      <c r="J2759" s="10"/>
    </row>
    <row r="2760" spans="1:10" ht="44.25" x14ac:dyDescent="0.2">
      <c r="A2760" s="2" t="s">
        <v>1555</v>
      </c>
      <c r="B2760" s="9">
        <v>1</v>
      </c>
      <c r="C2760" s="9">
        <v>2</v>
      </c>
      <c r="D2760" s="10" t="s">
        <v>32</v>
      </c>
      <c r="E2760" s="11" t="s">
        <v>1347</v>
      </c>
      <c r="F2760" s="12">
        <v>1</v>
      </c>
      <c r="G2760" s="10" t="s">
        <v>15</v>
      </c>
      <c r="H2760" s="13"/>
      <c r="I2760" s="13"/>
      <c r="J2760" s="10"/>
    </row>
    <row r="2761" spans="1:10" ht="74.25" x14ac:dyDescent="0.2">
      <c r="A2761" s="2" t="s">
        <v>1555</v>
      </c>
      <c r="B2761" s="9">
        <v>1</v>
      </c>
      <c r="C2761" s="9">
        <v>2</v>
      </c>
      <c r="D2761" s="10" t="s">
        <v>33</v>
      </c>
      <c r="E2761" s="11" t="s">
        <v>1207</v>
      </c>
      <c r="F2761" s="12">
        <v>1</v>
      </c>
      <c r="G2761" s="10" t="s">
        <v>15</v>
      </c>
      <c r="H2761" s="13"/>
      <c r="I2761" s="13"/>
      <c r="J2761" s="10"/>
    </row>
    <row r="2762" spans="1:10" x14ac:dyDescent="0.2">
      <c r="A2762" s="1" t="s">
        <v>1559</v>
      </c>
      <c r="B2762" s="1"/>
      <c r="C2762" s="1"/>
      <c r="D2762" s="1"/>
      <c r="E2762" s="1"/>
      <c r="F2762" s="1"/>
      <c r="G2762" s="1"/>
      <c r="H2762" s="1" t="s">
        <v>67</v>
      </c>
      <c r="I2762" s="13">
        <f>I2752+I2753+I2754+I2755+I2756+I2757+I2758+I2759+I2760+I2761</f>
        <v>0</v>
      </c>
      <c r="J2762" s="1"/>
    </row>
    <row r="2770" spans="1:10" ht="15" x14ac:dyDescent="0.25">
      <c r="A2770" s="3" t="s">
        <v>89</v>
      </c>
      <c r="B2770" s="14"/>
      <c r="C2770" s="14"/>
      <c r="D2770" s="14"/>
      <c r="E2770" s="14"/>
      <c r="F2770" s="14"/>
      <c r="G2770" s="14"/>
      <c r="H2770" s="14"/>
      <c r="I2770" s="7" t="s">
        <v>90</v>
      </c>
    </row>
    <row r="2771" spans="1:10" x14ac:dyDescent="0.2">
      <c r="A2771" s="15" t="s">
        <v>1560</v>
      </c>
      <c r="I2771" s="16">
        <f>I2745</f>
        <v>0</v>
      </c>
    </row>
    <row r="2772" spans="1:10" x14ac:dyDescent="0.2">
      <c r="A2772" s="15" t="s">
        <v>1561</v>
      </c>
      <c r="I2772" s="16">
        <f>I2762</f>
        <v>0</v>
      </c>
    </row>
    <row r="2773" spans="1:10" x14ac:dyDescent="0.2">
      <c r="A2773" s="15"/>
      <c r="I2773" s="15"/>
    </row>
    <row r="2774" spans="1:10" x14ac:dyDescent="0.2">
      <c r="A2774" s="17"/>
      <c r="B2774" s="18"/>
      <c r="C2774" s="18"/>
      <c r="D2774" s="18"/>
      <c r="E2774" s="18"/>
      <c r="F2774" s="18"/>
      <c r="G2774" s="18"/>
      <c r="H2774" s="18"/>
      <c r="I2774" s="17"/>
    </row>
    <row r="2775" spans="1:10" x14ac:dyDescent="0.2">
      <c r="H2775" s="4" t="s">
        <v>95</v>
      </c>
      <c r="I2775" s="13">
        <f>SUM(I2771:I2774)</f>
        <v>0</v>
      </c>
    </row>
    <row r="2779" spans="1:10" ht="15" x14ac:dyDescent="0.25">
      <c r="A2779" s="21" t="s">
        <v>1562</v>
      </c>
      <c r="B2779" s="22"/>
      <c r="C2779" s="22"/>
      <c r="D2779" s="22"/>
      <c r="E2779" s="22"/>
      <c r="F2779" s="22"/>
      <c r="G2779" s="22"/>
      <c r="H2779" s="22"/>
      <c r="I2779" s="22"/>
      <c r="J2779" s="22"/>
    </row>
    <row r="2780" spans="1:10" ht="15" x14ac:dyDescent="0.25">
      <c r="A2780" s="21" t="s">
        <v>1563</v>
      </c>
      <c r="B2780" s="22"/>
      <c r="C2780" s="22"/>
      <c r="D2780" s="22"/>
      <c r="E2780" s="22"/>
      <c r="F2780" s="22"/>
      <c r="G2780" s="22"/>
      <c r="H2780" s="22"/>
      <c r="I2780" s="22"/>
      <c r="J2780" s="22"/>
    </row>
    <row r="2782" spans="1:10" ht="15" x14ac:dyDescent="0.25">
      <c r="A2782" s="3" t="s">
        <v>2</v>
      </c>
      <c r="B2782" s="3" t="s">
        <v>3</v>
      </c>
      <c r="C2782" s="3" t="s">
        <v>4</v>
      </c>
      <c r="D2782" s="3" t="s">
        <v>5</v>
      </c>
      <c r="E2782" s="3" t="s">
        <v>6</v>
      </c>
      <c r="F2782" s="7" t="s">
        <v>7</v>
      </c>
      <c r="G2782" s="3" t="s">
        <v>8</v>
      </c>
      <c r="H2782" s="7" t="s">
        <v>9</v>
      </c>
      <c r="I2782" s="7" t="s">
        <v>10</v>
      </c>
      <c r="J2782" s="3" t="s">
        <v>11</v>
      </c>
    </row>
    <row r="2783" spans="1:10" ht="179.25" x14ac:dyDescent="0.2">
      <c r="A2783" s="2" t="s">
        <v>1564</v>
      </c>
      <c r="B2783" s="9">
        <v>1</v>
      </c>
      <c r="C2783" s="9">
        <v>1</v>
      </c>
      <c r="D2783" s="10" t="s">
        <v>13</v>
      </c>
      <c r="E2783" s="11" t="s">
        <v>1498</v>
      </c>
      <c r="F2783" s="12">
        <v>0</v>
      </c>
      <c r="G2783" s="10" t="s">
        <v>83</v>
      </c>
      <c r="H2783" s="13"/>
      <c r="I2783" s="13"/>
      <c r="J2783" s="10"/>
    </row>
    <row r="2784" spans="1:10" x14ac:dyDescent="0.2">
      <c r="A2784" s="2" t="s">
        <v>1564</v>
      </c>
      <c r="B2784" s="9">
        <v>1</v>
      </c>
      <c r="C2784" s="9">
        <v>1</v>
      </c>
      <c r="D2784" s="10" t="s">
        <v>16</v>
      </c>
      <c r="E2784" s="11" t="s">
        <v>1565</v>
      </c>
      <c r="F2784" s="12">
        <v>20</v>
      </c>
      <c r="G2784" s="10" t="s">
        <v>83</v>
      </c>
      <c r="H2784" s="13"/>
      <c r="I2784" s="13"/>
      <c r="J2784" s="10"/>
    </row>
    <row r="2785" spans="1:10" x14ac:dyDescent="0.2">
      <c r="A2785" s="2" t="s">
        <v>1564</v>
      </c>
      <c r="B2785" s="9">
        <v>1</v>
      </c>
      <c r="C2785" s="9">
        <v>1</v>
      </c>
      <c r="D2785" s="10" t="s">
        <v>18</v>
      </c>
      <c r="E2785" s="11" t="s">
        <v>1566</v>
      </c>
      <c r="F2785" s="12">
        <v>50</v>
      </c>
      <c r="G2785" s="10" t="s">
        <v>83</v>
      </c>
      <c r="H2785" s="13"/>
      <c r="I2785" s="13"/>
      <c r="J2785" s="10"/>
    </row>
    <row r="2786" spans="1:10" ht="59.25" x14ac:dyDescent="0.2">
      <c r="A2786" s="2" t="s">
        <v>1564</v>
      </c>
      <c r="B2786" s="9">
        <v>1</v>
      </c>
      <c r="C2786" s="9">
        <v>1</v>
      </c>
      <c r="D2786" s="10" t="s">
        <v>20</v>
      </c>
      <c r="E2786" s="11" t="s">
        <v>1417</v>
      </c>
      <c r="F2786" s="12">
        <v>0</v>
      </c>
      <c r="G2786" s="10" t="s">
        <v>83</v>
      </c>
      <c r="H2786" s="13"/>
      <c r="I2786" s="13"/>
      <c r="J2786" s="10"/>
    </row>
    <row r="2787" spans="1:10" x14ac:dyDescent="0.2">
      <c r="A2787" s="2" t="s">
        <v>1564</v>
      </c>
      <c r="B2787" s="9">
        <v>1</v>
      </c>
      <c r="C2787" s="9">
        <v>1</v>
      </c>
      <c r="D2787" s="10" t="s">
        <v>22</v>
      </c>
      <c r="E2787" s="11" t="s">
        <v>1419</v>
      </c>
      <c r="F2787" s="12">
        <v>30</v>
      </c>
      <c r="G2787" s="10" t="s">
        <v>83</v>
      </c>
      <c r="H2787" s="13"/>
      <c r="I2787" s="13"/>
      <c r="J2787" s="10"/>
    </row>
    <row r="2788" spans="1:10" ht="74.25" x14ac:dyDescent="0.2">
      <c r="A2788" s="2" t="s">
        <v>1564</v>
      </c>
      <c r="B2788" s="9">
        <v>1</v>
      </c>
      <c r="C2788" s="9">
        <v>1</v>
      </c>
      <c r="D2788" s="10" t="s">
        <v>24</v>
      </c>
      <c r="E2788" s="11" t="s">
        <v>1421</v>
      </c>
      <c r="F2788" s="12">
        <v>0</v>
      </c>
      <c r="G2788" s="10" t="s">
        <v>83</v>
      </c>
      <c r="H2788" s="13"/>
      <c r="I2788" s="13"/>
      <c r="J2788" s="10"/>
    </row>
    <row r="2789" spans="1:10" x14ac:dyDescent="0.2">
      <c r="A2789" s="2" t="s">
        <v>1564</v>
      </c>
      <c r="B2789" s="9">
        <v>1</v>
      </c>
      <c r="C2789" s="9">
        <v>1</v>
      </c>
      <c r="D2789" s="10" t="s">
        <v>27</v>
      </c>
      <c r="E2789" s="11" t="s">
        <v>1423</v>
      </c>
      <c r="F2789" s="12">
        <v>30</v>
      </c>
      <c r="G2789" s="10" t="s">
        <v>83</v>
      </c>
      <c r="H2789" s="13"/>
      <c r="I2789" s="13"/>
      <c r="J2789" s="10"/>
    </row>
    <row r="2790" spans="1:10" x14ac:dyDescent="0.2">
      <c r="A2790" s="2" t="s">
        <v>1564</v>
      </c>
      <c r="B2790" s="9">
        <v>1</v>
      </c>
      <c r="C2790" s="9">
        <v>1</v>
      </c>
      <c r="D2790" s="10" t="s">
        <v>29</v>
      </c>
      <c r="E2790" s="11" t="s">
        <v>1567</v>
      </c>
      <c r="F2790" s="12">
        <v>20</v>
      </c>
      <c r="G2790" s="10" t="s">
        <v>83</v>
      </c>
      <c r="H2790" s="13"/>
      <c r="I2790" s="13"/>
      <c r="J2790" s="10"/>
    </row>
    <row r="2791" spans="1:10" x14ac:dyDescent="0.2">
      <c r="A2791" s="2" t="s">
        <v>1564</v>
      </c>
      <c r="B2791" s="9">
        <v>1</v>
      </c>
      <c r="C2791" s="9">
        <v>1</v>
      </c>
      <c r="D2791" s="10" t="s">
        <v>32</v>
      </c>
      <c r="E2791" s="11" t="s">
        <v>1424</v>
      </c>
      <c r="F2791" s="12">
        <v>50</v>
      </c>
      <c r="G2791" s="10" t="s">
        <v>83</v>
      </c>
      <c r="H2791" s="13"/>
      <c r="I2791" s="13"/>
      <c r="J2791" s="10"/>
    </row>
    <row r="2792" spans="1:10" x14ac:dyDescent="0.2">
      <c r="A2792" s="1" t="s">
        <v>1568</v>
      </c>
      <c r="B2792" s="1"/>
      <c r="C2792" s="1"/>
      <c r="D2792" s="1"/>
      <c r="E2792" s="1"/>
      <c r="F2792" s="1"/>
      <c r="G2792" s="1"/>
      <c r="H2792" s="1" t="s">
        <v>67</v>
      </c>
      <c r="I2792" s="13">
        <f>I2783+I2784+I2785+I2786+I2787+I2788+I2789+I2790+I2791</f>
        <v>0</v>
      </c>
      <c r="J2792" s="1"/>
    </row>
    <row r="2795" spans="1:10" ht="15" x14ac:dyDescent="0.25">
      <c r="A2795" s="21" t="s">
        <v>1569</v>
      </c>
      <c r="B2795" s="22"/>
      <c r="C2795" s="22"/>
      <c r="D2795" s="22"/>
      <c r="E2795" s="22"/>
      <c r="F2795" s="22"/>
      <c r="G2795" s="22"/>
      <c r="H2795" s="22"/>
      <c r="I2795" s="22"/>
      <c r="J2795" s="22"/>
    </row>
    <row r="2796" spans="1:10" ht="15" x14ac:dyDescent="0.25">
      <c r="A2796" s="21" t="s">
        <v>1563</v>
      </c>
      <c r="B2796" s="22"/>
      <c r="C2796" s="22"/>
      <c r="D2796" s="22"/>
      <c r="E2796" s="22"/>
      <c r="F2796" s="22"/>
      <c r="G2796" s="22"/>
      <c r="H2796" s="22"/>
      <c r="I2796" s="22"/>
      <c r="J2796" s="22"/>
    </row>
    <row r="2798" spans="1:10" ht="15" x14ac:dyDescent="0.25">
      <c r="A2798" s="3" t="s">
        <v>2</v>
      </c>
      <c r="B2798" s="3" t="s">
        <v>3</v>
      </c>
      <c r="C2798" s="3" t="s">
        <v>4</v>
      </c>
      <c r="D2798" s="3" t="s">
        <v>5</v>
      </c>
      <c r="E2798" s="3" t="s">
        <v>6</v>
      </c>
      <c r="F2798" s="7" t="s">
        <v>7</v>
      </c>
      <c r="G2798" s="3" t="s">
        <v>8</v>
      </c>
      <c r="H2798" s="7" t="s">
        <v>9</v>
      </c>
      <c r="I2798" s="7" t="s">
        <v>10</v>
      </c>
      <c r="J2798" s="3" t="s">
        <v>11</v>
      </c>
    </row>
    <row r="2799" spans="1:10" ht="74.25" x14ac:dyDescent="0.2">
      <c r="A2799" s="2" t="s">
        <v>1564</v>
      </c>
      <c r="B2799" s="9">
        <v>1</v>
      </c>
      <c r="C2799" s="9">
        <v>2</v>
      </c>
      <c r="D2799" s="10" t="s">
        <v>13</v>
      </c>
      <c r="E2799" s="11" t="s">
        <v>1570</v>
      </c>
      <c r="F2799" s="12">
        <v>2</v>
      </c>
      <c r="G2799" s="10" t="s">
        <v>31</v>
      </c>
      <c r="H2799" s="13"/>
      <c r="I2799" s="13"/>
      <c r="J2799" s="10"/>
    </row>
    <row r="2800" spans="1:10" ht="44.25" x14ac:dyDescent="0.2">
      <c r="A2800" s="2" t="s">
        <v>1564</v>
      </c>
      <c r="B2800" s="9">
        <v>1</v>
      </c>
      <c r="C2800" s="9">
        <v>2</v>
      </c>
      <c r="D2800" s="10" t="s">
        <v>16</v>
      </c>
      <c r="E2800" s="11" t="s">
        <v>1571</v>
      </c>
      <c r="F2800" s="12">
        <v>0</v>
      </c>
      <c r="G2800" s="10" t="s">
        <v>31</v>
      </c>
      <c r="H2800" s="13"/>
      <c r="I2800" s="13"/>
      <c r="J2800" s="10"/>
    </row>
    <row r="2801" spans="1:10" ht="74.25" x14ac:dyDescent="0.2">
      <c r="A2801" s="2" t="s">
        <v>1564</v>
      </c>
      <c r="B2801" s="9">
        <v>1</v>
      </c>
      <c r="C2801" s="9">
        <v>2</v>
      </c>
      <c r="D2801" s="10" t="s">
        <v>18</v>
      </c>
      <c r="E2801" s="11" t="s">
        <v>1500</v>
      </c>
      <c r="F2801" s="12">
        <v>0</v>
      </c>
      <c r="G2801" s="10" t="s">
        <v>83</v>
      </c>
      <c r="H2801" s="13"/>
      <c r="I2801" s="13"/>
      <c r="J2801" s="10"/>
    </row>
    <row r="2802" spans="1:10" x14ac:dyDescent="0.2">
      <c r="A2802" s="2" t="s">
        <v>1564</v>
      </c>
      <c r="B2802" s="9">
        <v>1</v>
      </c>
      <c r="C2802" s="9">
        <v>2</v>
      </c>
      <c r="D2802" s="10" t="s">
        <v>20</v>
      </c>
      <c r="E2802" s="11" t="s">
        <v>1432</v>
      </c>
      <c r="F2802" s="12">
        <v>0</v>
      </c>
      <c r="G2802" s="10" t="s">
        <v>83</v>
      </c>
      <c r="H2802" s="13"/>
      <c r="I2802" s="13"/>
      <c r="J2802" s="10"/>
    </row>
    <row r="2803" spans="1:10" x14ac:dyDescent="0.2">
      <c r="A2803" s="2" t="s">
        <v>1564</v>
      </c>
      <c r="B2803" s="9">
        <v>1</v>
      </c>
      <c r="C2803" s="9">
        <v>2</v>
      </c>
      <c r="D2803" s="10" t="s">
        <v>22</v>
      </c>
      <c r="E2803" s="11" t="s">
        <v>1572</v>
      </c>
      <c r="F2803" s="12">
        <v>60</v>
      </c>
      <c r="G2803" s="10" t="s">
        <v>83</v>
      </c>
      <c r="H2803" s="13"/>
      <c r="I2803" s="13"/>
      <c r="J2803" s="10"/>
    </row>
    <row r="2804" spans="1:10" x14ac:dyDescent="0.2">
      <c r="A2804" s="2" t="s">
        <v>1564</v>
      </c>
      <c r="B2804" s="9">
        <v>1</v>
      </c>
      <c r="C2804" s="9">
        <v>2</v>
      </c>
      <c r="D2804" s="10" t="s">
        <v>24</v>
      </c>
      <c r="E2804" s="11" t="s">
        <v>1573</v>
      </c>
      <c r="F2804" s="12">
        <v>20</v>
      </c>
      <c r="G2804" s="10" t="s">
        <v>83</v>
      </c>
      <c r="H2804" s="13"/>
      <c r="I2804" s="13"/>
      <c r="J2804" s="10"/>
    </row>
    <row r="2805" spans="1:10" ht="44.25" x14ac:dyDescent="0.2">
      <c r="A2805" s="2" t="s">
        <v>1564</v>
      </c>
      <c r="B2805" s="9">
        <v>1</v>
      </c>
      <c r="C2805" s="9">
        <v>2</v>
      </c>
      <c r="D2805" s="10" t="s">
        <v>27</v>
      </c>
      <c r="E2805" s="11" t="s">
        <v>1574</v>
      </c>
      <c r="F2805" s="12">
        <v>50</v>
      </c>
      <c r="G2805" s="10" t="s">
        <v>83</v>
      </c>
      <c r="H2805" s="13"/>
      <c r="I2805" s="13"/>
      <c r="J2805" s="10"/>
    </row>
    <row r="2806" spans="1:10" ht="74.25" x14ac:dyDescent="0.2">
      <c r="A2806" s="2" t="s">
        <v>1564</v>
      </c>
      <c r="B2806" s="9">
        <v>1</v>
      </c>
      <c r="C2806" s="9">
        <v>2</v>
      </c>
      <c r="D2806" s="10" t="s">
        <v>29</v>
      </c>
      <c r="E2806" s="11" t="s">
        <v>1575</v>
      </c>
      <c r="F2806" s="12">
        <v>0</v>
      </c>
      <c r="G2806" s="10" t="s">
        <v>31</v>
      </c>
      <c r="H2806" s="13"/>
      <c r="I2806" s="13"/>
      <c r="J2806" s="10"/>
    </row>
    <row r="2807" spans="1:10" x14ac:dyDescent="0.2">
      <c r="A2807" s="2" t="s">
        <v>1564</v>
      </c>
      <c r="B2807" s="9">
        <v>1</v>
      </c>
      <c r="C2807" s="9">
        <v>2</v>
      </c>
      <c r="D2807" s="10" t="s">
        <v>32</v>
      </c>
      <c r="E2807" s="11" t="s">
        <v>1439</v>
      </c>
      <c r="F2807" s="12">
        <v>0</v>
      </c>
      <c r="G2807" s="10" t="s">
        <v>31</v>
      </c>
      <c r="H2807" s="13"/>
      <c r="I2807" s="13"/>
      <c r="J2807" s="10"/>
    </row>
    <row r="2808" spans="1:10" x14ac:dyDescent="0.2">
      <c r="A2808" s="2" t="s">
        <v>1564</v>
      </c>
      <c r="B2808" s="9">
        <v>1</v>
      </c>
      <c r="C2808" s="9">
        <v>2</v>
      </c>
      <c r="D2808" s="10" t="s">
        <v>33</v>
      </c>
      <c r="E2808" s="11" t="s">
        <v>1576</v>
      </c>
      <c r="F2808" s="12">
        <v>2</v>
      </c>
      <c r="G2808" s="10" t="s">
        <v>31</v>
      </c>
      <c r="H2808" s="13"/>
      <c r="I2808" s="13"/>
      <c r="J2808" s="10"/>
    </row>
    <row r="2809" spans="1:10" x14ac:dyDescent="0.2">
      <c r="A2809" s="2" t="s">
        <v>1564</v>
      </c>
      <c r="B2809" s="9">
        <v>1</v>
      </c>
      <c r="C2809" s="9">
        <v>2</v>
      </c>
      <c r="D2809" s="10" t="s">
        <v>34</v>
      </c>
      <c r="E2809" s="11" t="s">
        <v>1577</v>
      </c>
      <c r="F2809" s="12">
        <v>2</v>
      </c>
      <c r="G2809" s="10" t="s">
        <v>31</v>
      </c>
      <c r="H2809" s="13"/>
      <c r="I2809" s="13"/>
      <c r="J2809" s="10"/>
    </row>
    <row r="2810" spans="1:10" x14ac:dyDescent="0.2">
      <c r="A2810" s="2" t="s">
        <v>1564</v>
      </c>
      <c r="B2810" s="9">
        <v>1</v>
      </c>
      <c r="C2810" s="9">
        <v>2</v>
      </c>
      <c r="D2810" s="10" t="s">
        <v>35</v>
      </c>
      <c r="E2810" s="11" t="s">
        <v>1578</v>
      </c>
      <c r="F2810" s="12">
        <v>2</v>
      </c>
      <c r="G2810" s="10" t="s">
        <v>31</v>
      </c>
      <c r="H2810" s="13"/>
      <c r="I2810" s="13"/>
      <c r="J2810" s="10"/>
    </row>
    <row r="2811" spans="1:10" x14ac:dyDescent="0.2">
      <c r="A2811" s="1" t="s">
        <v>1579</v>
      </c>
      <c r="B2811" s="1"/>
      <c r="C2811" s="1"/>
      <c r="D2811" s="1"/>
      <c r="E2811" s="1"/>
      <c r="F2811" s="1"/>
      <c r="G2811" s="1"/>
      <c r="H2811" s="1" t="s">
        <v>67</v>
      </c>
      <c r="I2811" s="13">
        <f>I2799+I2800+I2801+I2802+I2803+I2804+I2805+I2806+I2807+I2808+I2809+I2810</f>
        <v>0</v>
      </c>
      <c r="J2811" s="1"/>
    </row>
    <row r="2814" spans="1:10" ht="15" x14ac:dyDescent="0.25">
      <c r="A2814" s="21" t="s">
        <v>1580</v>
      </c>
      <c r="B2814" s="22"/>
      <c r="C2814" s="22"/>
      <c r="D2814" s="22"/>
      <c r="E2814" s="22"/>
      <c r="F2814" s="22"/>
      <c r="G2814" s="22"/>
      <c r="H2814" s="22"/>
      <c r="I2814" s="22"/>
      <c r="J2814" s="22"/>
    </row>
    <row r="2815" spans="1:10" ht="15" x14ac:dyDescent="0.25">
      <c r="A2815" s="21" t="s">
        <v>1563</v>
      </c>
      <c r="B2815" s="22"/>
      <c r="C2815" s="22"/>
      <c r="D2815" s="22"/>
      <c r="E2815" s="22"/>
      <c r="F2815" s="22"/>
      <c r="G2815" s="22"/>
      <c r="H2815" s="22"/>
      <c r="I2815" s="22"/>
      <c r="J2815" s="22"/>
    </row>
    <row r="2817" spans="1:10" ht="15" x14ac:dyDescent="0.25">
      <c r="A2817" s="3" t="s">
        <v>2</v>
      </c>
      <c r="B2817" s="3" t="s">
        <v>3</v>
      </c>
      <c r="C2817" s="3" t="s">
        <v>4</v>
      </c>
      <c r="D2817" s="3" t="s">
        <v>5</v>
      </c>
      <c r="E2817" s="3" t="s">
        <v>6</v>
      </c>
      <c r="F2817" s="7" t="s">
        <v>7</v>
      </c>
      <c r="G2817" s="3" t="s">
        <v>8</v>
      </c>
      <c r="H2817" s="7" t="s">
        <v>9</v>
      </c>
      <c r="I2817" s="7" t="s">
        <v>10</v>
      </c>
      <c r="J2817" s="3" t="s">
        <v>11</v>
      </c>
    </row>
    <row r="2818" spans="1:10" ht="74.25" x14ac:dyDescent="0.2">
      <c r="A2818" s="2" t="s">
        <v>1564</v>
      </c>
      <c r="B2818" s="9">
        <v>1</v>
      </c>
      <c r="C2818" s="9">
        <v>3</v>
      </c>
      <c r="D2818" s="10" t="s">
        <v>13</v>
      </c>
      <c r="E2818" s="11" t="s">
        <v>1445</v>
      </c>
      <c r="F2818" s="12">
        <v>30</v>
      </c>
      <c r="G2818" s="10" t="s">
        <v>83</v>
      </c>
      <c r="H2818" s="13"/>
      <c r="I2818" s="13"/>
      <c r="J2818" s="10"/>
    </row>
    <row r="2819" spans="1:10" x14ac:dyDescent="0.2">
      <c r="A2819" s="2" t="s">
        <v>1564</v>
      </c>
      <c r="B2819" s="9">
        <v>1</v>
      </c>
      <c r="C2819" s="9">
        <v>3</v>
      </c>
      <c r="D2819" s="10" t="s">
        <v>16</v>
      </c>
      <c r="E2819" s="11" t="s">
        <v>1581</v>
      </c>
      <c r="F2819" s="12">
        <v>20</v>
      </c>
      <c r="G2819" s="10" t="s">
        <v>83</v>
      </c>
      <c r="H2819" s="13"/>
      <c r="I2819" s="13"/>
      <c r="J2819" s="10"/>
    </row>
    <row r="2820" spans="1:10" x14ac:dyDescent="0.2">
      <c r="A2820" s="2" t="s">
        <v>1564</v>
      </c>
      <c r="B2820" s="9">
        <v>1</v>
      </c>
      <c r="C2820" s="9">
        <v>3</v>
      </c>
      <c r="D2820" s="10" t="s">
        <v>18</v>
      </c>
      <c r="E2820" s="11" t="s">
        <v>1446</v>
      </c>
      <c r="F2820" s="12">
        <v>0</v>
      </c>
      <c r="G2820" s="10" t="s">
        <v>83</v>
      </c>
      <c r="H2820" s="13"/>
      <c r="I2820" s="13"/>
      <c r="J2820" s="10"/>
    </row>
    <row r="2821" spans="1:10" x14ac:dyDescent="0.2">
      <c r="A2821" s="2" t="s">
        <v>1564</v>
      </c>
      <c r="B2821" s="9">
        <v>1</v>
      </c>
      <c r="C2821" s="9">
        <v>3</v>
      </c>
      <c r="D2821" s="10" t="s">
        <v>20</v>
      </c>
      <c r="E2821" s="11" t="s">
        <v>1447</v>
      </c>
      <c r="F2821" s="12">
        <v>0</v>
      </c>
      <c r="G2821" s="10" t="s">
        <v>83</v>
      </c>
      <c r="H2821" s="13"/>
      <c r="I2821" s="13"/>
      <c r="J2821" s="10"/>
    </row>
    <row r="2822" spans="1:10" x14ac:dyDescent="0.2">
      <c r="A2822" s="2" t="s">
        <v>1564</v>
      </c>
      <c r="B2822" s="9">
        <v>1</v>
      </c>
      <c r="C2822" s="9">
        <v>3</v>
      </c>
      <c r="D2822" s="10" t="s">
        <v>22</v>
      </c>
      <c r="E2822" s="11" t="s">
        <v>1582</v>
      </c>
      <c r="F2822" s="12">
        <v>50</v>
      </c>
      <c r="G2822" s="10" t="s">
        <v>83</v>
      </c>
      <c r="H2822" s="13"/>
      <c r="I2822" s="13"/>
      <c r="J2822" s="10"/>
    </row>
    <row r="2823" spans="1:10" ht="89.25" x14ac:dyDescent="0.2">
      <c r="A2823" s="2" t="s">
        <v>1564</v>
      </c>
      <c r="B2823" s="9">
        <v>1</v>
      </c>
      <c r="C2823" s="9">
        <v>3</v>
      </c>
      <c r="D2823" s="10" t="s">
        <v>24</v>
      </c>
      <c r="E2823" s="11" t="s">
        <v>1450</v>
      </c>
      <c r="F2823" s="12">
        <v>1</v>
      </c>
      <c r="G2823" s="10" t="s">
        <v>15</v>
      </c>
      <c r="H2823" s="13"/>
      <c r="I2823" s="6"/>
      <c r="J2823" s="10"/>
    </row>
    <row r="2824" spans="1:10" x14ac:dyDescent="0.2">
      <c r="A2824" s="2" t="s">
        <v>1564</v>
      </c>
      <c r="B2824" s="9">
        <v>1</v>
      </c>
      <c r="C2824" s="9">
        <v>3</v>
      </c>
      <c r="D2824" s="10" t="s">
        <v>27</v>
      </c>
      <c r="E2824" s="11" t="s">
        <v>1583</v>
      </c>
      <c r="F2824" s="12">
        <v>1</v>
      </c>
      <c r="G2824" s="10" t="s">
        <v>15</v>
      </c>
      <c r="H2824" s="13"/>
      <c r="I2824" s="6"/>
      <c r="J2824" s="10"/>
    </row>
    <row r="2825" spans="1:10" x14ac:dyDescent="0.2">
      <c r="A2825" s="2" t="s">
        <v>1564</v>
      </c>
      <c r="B2825" s="9">
        <v>1</v>
      </c>
      <c r="C2825" s="9">
        <v>3</v>
      </c>
      <c r="D2825" s="10" t="s">
        <v>29</v>
      </c>
      <c r="E2825" s="11" t="s">
        <v>1452</v>
      </c>
      <c r="F2825" s="12">
        <v>1</v>
      </c>
      <c r="G2825" s="10" t="s">
        <v>15</v>
      </c>
      <c r="H2825" s="13"/>
      <c r="I2825" s="6"/>
      <c r="J2825" s="10"/>
    </row>
    <row r="2826" spans="1:10" x14ac:dyDescent="0.2">
      <c r="A2826" s="2" t="s">
        <v>1564</v>
      </c>
      <c r="B2826" s="9">
        <v>1</v>
      </c>
      <c r="C2826" s="9">
        <v>3</v>
      </c>
      <c r="D2826" s="10" t="s">
        <v>32</v>
      </c>
      <c r="E2826" s="11" t="s">
        <v>1453</v>
      </c>
      <c r="F2826" s="12">
        <v>1</v>
      </c>
      <c r="G2826" s="10" t="s">
        <v>15</v>
      </c>
      <c r="H2826" s="13"/>
      <c r="I2826" s="6"/>
      <c r="J2826" s="10"/>
    </row>
    <row r="2827" spans="1:10" x14ac:dyDescent="0.2">
      <c r="A2827" s="1" t="s">
        <v>1584</v>
      </c>
      <c r="B2827" s="1"/>
      <c r="C2827" s="1"/>
      <c r="D2827" s="1"/>
      <c r="E2827" s="1"/>
      <c r="F2827" s="1"/>
      <c r="G2827" s="1"/>
      <c r="H2827" s="1" t="s">
        <v>67</v>
      </c>
      <c r="I2827" s="13">
        <f>I2818+I2819+I2820+I2821+I2822</f>
        <v>0</v>
      </c>
      <c r="J2827" s="1"/>
    </row>
    <row r="2835" spans="1:10" ht="15" x14ac:dyDescent="0.25">
      <c r="A2835" s="3" t="s">
        <v>89</v>
      </c>
      <c r="B2835" s="14"/>
      <c r="C2835" s="14"/>
      <c r="D2835" s="14"/>
      <c r="E2835" s="14"/>
      <c r="F2835" s="14"/>
      <c r="G2835" s="14"/>
      <c r="H2835" s="14"/>
      <c r="I2835" s="7" t="s">
        <v>90</v>
      </c>
    </row>
    <row r="2836" spans="1:10" x14ac:dyDescent="0.2">
      <c r="A2836" s="15" t="s">
        <v>1585</v>
      </c>
      <c r="I2836" s="16">
        <f>I2792</f>
        <v>0</v>
      </c>
    </row>
    <row r="2837" spans="1:10" x14ac:dyDescent="0.2">
      <c r="A2837" s="15" t="s">
        <v>1586</v>
      </c>
      <c r="I2837" s="16">
        <f>I2811</f>
        <v>0</v>
      </c>
    </row>
    <row r="2838" spans="1:10" x14ac:dyDescent="0.2">
      <c r="A2838" s="15" t="s">
        <v>1587</v>
      </c>
      <c r="I2838" s="16">
        <f>I2827</f>
        <v>0</v>
      </c>
    </row>
    <row r="2839" spans="1:10" x14ac:dyDescent="0.2">
      <c r="A2839" s="15"/>
      <c r="I2839" s="15"/>
    </row>
    <row r="2840" spans="1:10" x14ac:dyDescent="0.2">
      <c r="A2840" s="17"/>
      <c r="B2840" s="18"/>
      <c r="C2840" s="18"/>
      <c r="D2840" s="18"/>
      <c r="E2840" s="18"/>
      <c r="F2840" s="18"/>
      <c r="G2840" s="18"/>
      <c r="H2840" s="18"/>
      <c r="I2840" s="17"/>
    </row>
    <row r="2841" spans="1:10" x14ac:dyDescent="0.2">
      <c r="H2841" s="4" t="s">
        <v>95</v>
      </c>
      <c r="I2841" s="13">
        <f>SUM(I2836:I2840)</f>
        <v>0</v>
      </c>
    </row>
    <row r="2845" spans="1:10" ht="15" x14ac:dyDescent="0.25">
      <c r="A2845" s="21" t="s">
        <v>1588</v>
      </c>
      <c r="B2845" s="22"/>
      <c r="C2845" s="22"/>
      <c r="D2845" s="22"/>
      <c r="E2845" s="22"/>
      <c r="F2845" s="22"/>
      <c r="G2845" s="22"/>
      <c r="H2845" s="22"/>
      <c r="I2845" s="22"/>
      <c r="J2845" s="22"/>
    </row>
    <row r="2846" spans="1:10" ht="15" x14ac:dyDescent="0.25">
      <c r="A2846" s="21" t="s">
        <v>1589</v>
      </c>
      <c r="B2846" s="22"/>
      <c r="C2846" s="22"/>
      <c r="D2846" s="22"/>
      <c r="E2846" s="22"/>
      <c r="F2846" s="22"/>
      <c r="G2846" s="22"/>
      <c r="H2846" s="22"/>
      <c r="I2846" s="22"/>
      <c r="J2846" s="22"/>
    </row>
    <row r="2848" spans="1:10" ht="15" x14ac:dyDescent="0.25">
      <c r="A2848" s="3" t="s">
        <v>2</v>
      </c>
      <c r="B2848" s="3" t="s">
        <v>3</v>
      </c>
      <c r="C2848" s="3" t="s">
        <v>4</v>
      </c>
      <c r="D2848" s="3" t="s">
        <v>5</v>
      </c>
      <c r="E2848" s="3" t="s">
        <v>6</v>
      </c>
      <c r="F2848" s="7" t="s">
        <v>7</v>
      </c>
      <c r="G2848" s="3" t="s">
        <v>8</v>
      </c>
      <c r="H2848" s="7" t="s">
        <v>9</v>
      </c>
      <c r="I2848" s="7" t="s">
        <v>10</v>
      </c>
      <c r="J2848" s="3" t="s">
        <v>11</v>
      </c>
    </row>
    <row r="2849" spans="1:10" ht="134.25" x14ac:dyDescent="0.2">
      <c r="A2849" s="2" t="s">
        <v>1590</v>
      </c>
      <c r="B2849" s="9">
        <v>1</v>
      </c>
      <c r="C2849" s="9">
        <v>1</v>
      </c>
      <c r="D2849" s="10" t="s">
        <v>13</v>
      </c>
      <c r="E2849" s="11" t="s">
        <v>1591</v>
      </c>
      <c r="F2849" s="12">
        <v>243.00000000000003</v>
      </c>
      <c r="G2849" s="10" t="s">
        <v>79</v>
      </c>
      <c r="H2849" s="13"/>
      <c r="I2849" s="13"/>
      <c r="J2849" s="10"/>
    </row>
    <row r="2850" spans="1:10" ht="74.25" x14ac:dyDescent="0.2">
      <c r="A2850" s="2" t="s">
        <v>1590</v>
      </c>
      <c r="B2850" s="9">
        <v>1</v>
      </c>
      <c r="C2850" s="9">
        <v>1</v>
      </c>
      <c r="D2850" s="10" t="s">
        <v>16</v>
      </c>
      <c r="E2850" s="11" t="s">
        <v>1370</v>
      </c>
      <c r="F2850" s="12">
        <v>565</v>
      </c>
      <c r="G2850" s="10" t="s">
        <v>109</v>
      </c>
      <c r="H2850" s="13"/>
      <c r="I2850" s="13"/>
      <c r="J2850" s="10"/>
    </row>
    <row r="2851" spans="1:10" x14ac:dyDescent="0.2">
      <c r="A2851" s="1" t="s">
        <v>1592</v>
      </c>
      <c r="B2851" s="1"/>
      <c r="C2851" s="1"/>
      <c r="D2851" s="1"/>
      <c r="E2851" s="1"/>
      <c r="F2851" s="1"/>
      <c r="G2851" s="1"/>
      <c r="H2851" s="1" t="s">
        <v>67</v>
      </c>
      <c r="I2851" s="13">
        <f>I2849+I2850</f>
        <v>0</v>
      </c>
      <c r="J2851" s="1"/>
    </row>
    <row r="2859" spans="1:10" ht="15" x14ac:dyDescent="0.25">
      <c r="A2859" s="3" t="s">
        <v>89</v>
      </c>
      <c r="B2859" s="14"/>
      <c r="C2859" s="14"/>
      <c r="D2859" s="14"/>
      <c r="E2859" s="14"/>
      <c r="F2859" s="14"/>
      <c r="G2859" s="14"/>
      <c r="H2859" s="14"/>
      <c r="I2859" s="7" t="s">
        <v>90</v>
      </c>
    </row>
    <row r="2860" spans="1:10" x14ac:dyDescent="0.2">
      <c r="A2860" s="15" t="s">
        <v>1593</v>
      </c>
      <c r="I2860" s="16">
        <f>I2851</f>
        <v>0</v>
      </c>
    </row>
    <row r="2861" spans="1:10" x14ac:dyDescent="0.2">
      <c r="A2861" s="15"/>
      <c r="I2861" s="15"/>
    </row>
    <row r="2862" spans="1:10" x14ac:dyDescent="0.2">
      <c r="A2862" s="17"/>
      <c r="B2862" s="18"/>
      <c r="C2862" s="18"/>
      <c r="D2862" s="18"/>
      <c r="E2862" s="18"/>
      <c r="F2862" s="18"/>
      <c r="G2862" s="18"/>
      <c r="H2862" s="18"/>
      <c r="I2862" s="17"/>
    </row>
    <row r="2863" spans="1:10" x14ac:dyDescent="0.2">
      <c r="H2863" s="4" t="s">
        <v>95</v>
      </c>
      <c r="I2863" s="13">
        <f>SUM(I2860:I2862)</f>
        <v>0</v>
      </c>
    </row>
    <row r="2867" spans="1:10" ht="15" x14ac:dyDescent="0.25">
      <c r="A2867" s="21" t="s">
        <v>1594</v>
      </c>
      <c r="B2867" s="22"/>
      <c r="C2867" s="22"/>
      <c r="D2867" s="22"/>
      <c r="E2867" s="22"/>
      <c r="F2867" s="22"/>
      <c r="G2867" s="22"/>
      <c r="H2867" s="22"/>
      <c r="I2867" s="22"/>
      <c r="J2867" s="22"/>
    </row>
    <row r="2868" spans="1:10" ht="15" x14ac:dyDescent="0.25">
      <c r="A2868" s="21" t="s">
        <v>1595</v>
      </c>
      <c r="B2868" s="22"/>
      <c r="C2868" s="22"/>
      <c r="D2868" s="22"/>
      <c r="E2868" s="22"/>
      <c r="F2868" s="22"/>
      <c r="G2868" s="22"/>
      <c r="H2868" s="22"/>
      <c r="I2868" s="22"/>
      <c r="J2868" s="22"/>
    </row>
    <row r="2870" spans="1:10" ht="15" x14ac:dyDescent="0.25">
      <c r="A2870" s="3" t="s">
        <v>2</v>
      </c>
      <c r="B2870" s="3" t="s">
        <v>3</v>
      </c>
      <c r="C2870" s="3" t="s">
        <v>4</v>
      </c>
      <c r="D2870" s="3" t="s">
        <v>5</v>
      </c>
      <c r="E2870" s="3" t="s">
        <v>6</v>
      </c>
      <c r="F2870" s="7" t="s">
        <v>7</v>
      </c>
      <c r="G2870" s="3" t="s">
        <v>8</v>
      </c>
      <c r="H2870" s="7" t="s">
        <v>9</v>
      </c>
      <c r="I2870" s="7" t="s">
        <v>10</v>
      </c>
      <c r="J2870" s="3" t="s">
        <v>11</v>
      </c>
    </row>
    <row r="2871" spans="1:10" ht="134.25" x14ac:dyDescent="0.2">
      <c r="A2871" s="2" t="s">
        <v>1596</v>
      </c>
      <c r="B2871" s="9">
        <v>1</v>
      </c>
      <c r="C2871" s="9">
        <v>1</v>
      </c>
      <c r="D2871" s="10" t="s">
        <v>13</v>
      </c>
      <c r="E2871" s="11" t="s">
        <v>1232</v>
      </c>
      <c r="F2871" s="12">
        <v>13</v>
      </c>
      <c r="G2871" s="10" t="s">
        <v>79</v>
      </c>
      <c r="H2871" s="13"/>
      <c r="I2871" s="13"/>
      <c r="J2871" s="10"/>
    </row>
    <row r="2872" spans="1:10" ht="44.25" x14ac:dyDescent="0.2">
      <c r="A2872" s="2" t="s">
        <v>1596</v>
      </c>
      <c r="B2872" s="9">
        <v>1</v>
      </c>
      <c r="C2872" s="9">
        <v>1</v>
      </c>
      <c r="D2872" s="10" t="s">
        <v>16</v>
      </c>
      <c r="E2872" s="11" t="s">
        <v>1219</v>
      </c>
      <c r="F2872" s="12">
        <v>1</v>
      </c>
      <c r="G2872" s="10" t="s">
        <v>15</v>
      </c>
      <c r="H2872" s="13"/>
      <c r="I2872" s="6"/>
      <c r="J2872" s="10"/>
    </row>
    <row r="2873" spans="1:10" x14ac:dyDescent="0.2">
      <c r="A2873" s="2" t="s">
        <v>1596</v>
      </c>
      <c r="B2873" s="9">
        <v>1</v>
      </c>
      <c r="C2873" s="9">
        <v>1</v>
      </c>
      <c r="D2873" s="10" t="s">
        <v>18</v>
      </c>
      <c r="E2873" s="11" t="s">
        <v>1233</v>
      </c>
      <c r="F2873" s="12">
        <v>1</v>
      </c>
      <c r="G2873" s="10" t="s">
        <v>15</v>
      </c>
      <c r="H2873" s="13"/>
      <c r="I2873" s="6"/>
      <c r="J2873" s="10"/>
    </row>
    <row r="2874" spans="1:10" ht="74.25" x14ac:dyDescent="0.2">
      <c r="A2874" s="2" t="s">
        <v>1596</v>
      </c>
      <c r="B2874" s="9">
        <v>1</v>
      </c>
      <c r="C2874" s="9">
        <v>1</v>
      </c>
      <c r="D2874" s="10" t="s">
        <v>20</v>
      </c>
      <c r="E2874" s="11" t="s">
        <v>1234</v>
      </c>
      <c r="F2874" s="12">
        <v>35</v>
      </c>
      <c r="G2874" s="10" t="s">
        <v>109</v>
      </c>
      <c r="H2874" s="13"/>
      <c r="I2874" s="13"/>
      <c r="J2874" s="10"/>
    </row>
    <row r="2875" spans="1:10" ht="74.25" x14ac:dyDescent="0.2">
      <c r="A2875" s="2" t="s">
        <v>1596</v>
      </c>
      <c r="B2875" s="9">
        <v>1</v>
      </c>
      <c r="C2875" s="9">
        <v>1</v>
      </c>
      <c r="D2875" s="10" t="s">
        <v>22</v>
      </c>
      <c r="E2875" s="11" t="s">
        <v>1235</v>
      </c>
      <c r="F2875" s="12">
        <v>35</v>
      </c>
      <c r="G2875" s="10" t="s">
        <v>109</v>
      </c>
      <c r="H2875" s="13"/>
      <c r="I2875" s="13"/>
      <c r="J2875" s="10"/>
    </row>
    <row r="2876" spans="1:10" ht="74.25" x14ac:dyDescent="0.2">
      <c r="A2876" s="2" t="s">
        <v>1596</v>
      </c>
      <c r="B2876" s="9">
        <v>1</v>
      </c>
      <c r="C2876" s="9">
        <v>1</v>
      </c>
      <c r="D2876" s="10" t="s">
        <v>24</v>
      </c>
      <c r="E2876" s="11" t="s">
        <v>85</v>
      </c>
      <c r="F2876" s="12">
        <v>1</v>
      </c>
      <c r="G2876" s="10" t="s">
        <v>15</v>
      </c>
      <c r="H2876" s="13"/>
      <c r="I2876" s="6"/>
      <c r="J2876" s="10"/>
    </row>
    <row r="2877" spans="1:10" x14ac:dyDescent="0.2">
      <c r="A2877" s="2" t="s">
        <v>1596</v>
      </c>
      <c r="B2877" s="9">
        <v>1</v>
      </c>
      <c r="C2877" s="9">
        <v>1</v>
      </c>
      <c r="D2877" s="10" t="s">
        <v>27</v>
      </c>
      <c r="E2877" s="11" t="s">
        <v>86</v>
      </c>
      <c r="F2877" s="12">
        <v>1</v>
      </c>
      <c r="G2877" s="10" t="s">
        <v>15</v>
      </c>
      <c r="H2877" s="13"/>
      <c r="I2877" s="6"/>
      <c r="J2877" s="10"/>
    </row>
    <row r="2878" spans="1:10" ht="44.25" x14ac:dyDescent="0.2">
      <c r="A2878" s="2" t="s">
        <v>1596</v>
      </c>
      <c r="B2878" s="9">
        <v>1</v>
      </c>
      <c r="C2878" s="9">
        <v>1</v>
      </c>
      <c r="D2878" s="10" t="s">
        <v>29</v>
      </c>
      <c r="E2878" s="11" t="s">
        <v>87</v>
      </c>
      <c r="F2878" s="12">
        <v>13</v>
      </c>
      <c r="G2878" s="10" t="s">
        <v>79</v>
      </c>
      <c r="H2878" s="13"/>
      <c r="I2878" s="13"/>
      <c r="J2878" s="10"/>
    </row>
    <row r="2879" spans="1:10" ht="74.25" x14ac:dyDescent="0.2">
      <c r="A2879" s="2" t="s">
        <v>1596</v>
      </c>
      <c r="B2879" s="9">
        <v>1</v>
      </c>
      <c r="C2879" s="9">
        <v>1</v>
      </c>
      <c r="D2879" s="10" t="s">
        <v>32</v>
      </c>
      <c r="E2879" s="11" t="s">
        <v>1225</v>
      </c>
      <c r="F2879" s="12">
        <v>16</v>
      </c>
      <c r="G2879" s="10" t="s">
        <v>109</v>
      </c>
      <c r="H2879" s="13"/>
      <c r="I2879" s="13"/>
      <c r="J2879" s="10"/>
    </row>
    <row r="2880" spans="1:10" x14ac:dyDescent="0.2">
      <c r="A2880" s="1" t="s">
        <v>1597</v>
      </c>
      <c r="B2880" s="1"/>
      <c r="C2880" s="1"/>
      <c r="D2880" s="1"/>
      <c r="E2880" s="1"/>
      <c r="F2880" s="1"/>
      <c r="G2880" s="1"/>
      <c r="H2880" s="1" t="s">
        <v>67</v>
      </c>
      <c r="I2880" s="13">
        <f>I2871+I2874+I2875+I2878+I2879</f>
        <v>0</v>
      </c>
      <c r="J2880" s="1"/>
    </row>
    <row r="2883" spans="1:10" ht="15" x14ac:dyDescent="0.25">
      <c r="A2883" s="21" t="s">
        <v>1598</v>
      </c>
      <c r="B2883" s="22"/>
      <c r="C2883" s="22"/>
      <c r="D2883" s="22"/>
      <c r="E2883" s="22"/>
      <c r="F2883" s="22"/>
      <c r="G2883" s="22"/>
      <c r="H2883" s="22"/>
      <c r="I2883" s="22"/>
      <c r="J2883" s="22"/>
    </row>
    <row r="2884" spans="1:10" ht="15" x14ac:dyDescent="0.25">
      <c r="A2884" s="21" t="s">
        <v>1595</v>
      </c>
      <c r="B2884" s="22"/>
      <c r="C2884" s="22"/>
      <c r="D2884" s="22"/>
      <c r="E2884" s="22"/>
      <c r="F2884" s="22"/>
      <c r="G2884" s="22"/>
      <c r="H2884" s="22"/>
      <c r="I2884" s="22"/>
      <c r="J2884" s="22"/>
    </row>
    <row r="2886" spans="1:10" ht="15" x14ac:dyDescent="0.25">
      <c r="A2886" s="3" t="s">
        <v>2</v>
      </c>
      <c r="B2886" s="3" t="s">
        <v>3</v>
      </c>
      <c r="C2886" s="3" t="s">
        <v>4</v>
      </c>
      <c r="D2886" s="3" t="s">
        <v>5</v>
      </c>
      <c r="E2886" s="3" t="s">
        <v>6</v>
      </c>
      <c r="F2886" s="7" t="s">
        <v>7</v>
      </c>
      <c r="G2886" s="3" t="s">
        <v>8</v>
      </c>
      <c r="H2886" s="7" t="s">
        <v>9</v>
      </c>
      <c r="I2886" s="7" t="s">
        <v>10</v>
      </c>
      <c r="J2886" s="3" t="s">
        <v>11</v>
      </c>
    </row>
    <row r="2887" spans="1:10" ht="134.25" x14ac:dyDescent="0.2">
      <c r="A2887" s="2" t="s">
        <v>1596</v>
      </c>
      <c r="B2887" s="9">
        <v>1</v>
      </c>
      <c r="C2887" s="9">
        <v>2</v>
      </c>
      <c r="D2887" s="10" t="s">
        <v>13</v>
      </c>
      <c r="E2887" s="11" t="s">
        <v>1241</v>
      </c>
      <c r="F2887" s="12">
        <v>1</v>
      </c>
      <c r="G2887" s="10" t="s">
        <v>79</v>
      </c>
      <c r="H2887" s="13"/>
      <c r="I2887" s="13"/>
      <c r="J2887" s="10"/>
    </row>
    <row r="2888" spans="1:10" ht="89.25" x14ac:dyDescent="0.2">
      <c r="A2888" s="2" t="s">
        <v>1596</v>
      </c>
      <c r="B2888" s="9">
        <v>1</v>
      </c>
      <c r="C2888" s="9">
        <v>2</v>
      </c>
      <c r="D2888" s="10" t="s">
        <v>16</v>
      </c>
      <c r="E2888" s="11" t="s">
        <v>1242</v>
      </c>
      <c r="F2888" s="12">
        <v>12</v>
      </c>
      <c r="G2888" s="10" t="s">
        <v>79</v>
      </c>
      <c r="H2888" s="13"/>
      <c r="I2888" s="13"/>
      <c r="J2888" s="10"/>
    </row>
    <row r="2889" spans="1:10" ht="119.25" x14ac:dyDescent="0.2">
      <c r="A2889" s="2" t="s">
        <v>1596</v>
      </c>
      <c r="B2889" s="9">
        <v>1</v>
      </c>
      <c r="C2889" s="9">
        <v>2</v>
      </c>
      <c r="D2889" s="10" t="s">
        <v>18</v>
      </c>
      <c r="E2889" s="11" t="s">
        <v>1599</v>
      </c>
      <c r="F2889" s="12">
        <v>1.83</v>
      </c>
      <c r="G2889" s="10" t="s">
        <v>169</v>
      </c>
      <c r="H2889" s="13"/>
      <c r="I2889" s="13"/>
      <c r="J2889" s="10"/>
    </row>
    <row r="2890" spans="1:10" ht="194.25" x14ac:dyDescent="0.2">
      <c r="A2890" s="2" t="s">
        <v>1596</v>
      </c>
      <c r="B2890" s="9">
        <v>1</v>
      </c>
      <c r="C2890" s="9">
        <v>2</v>
      </c>
      <c r="D2890" s="10" t="s">
        <v>20</v>
      </c>
      <c r="E2890" s="11" t="s">
        <v>1320</v>
      </c>
      <c r="F2890" s="12">
        <v>43</v>
      </c>
      <c r="G2890" s="10" t="s">
        <v>83</v>
      </c>
      <c r="H2890" s="13"/>
      <c r="I2890" s="13"/>
      <c r="J2890" s="10"/>
    </row>
    <row r="2891" spans="1:10" x14ac:dyDescent="0.2">
      <c r="A2891" s="1" t="s">
        <v>1600</v>
      </c>
      <c r="B2891" s="1"/>
      <c r="C2891" s="1"/>
      <c r="D2891" s="1"/>
      <c r="E2891" s="1"/>
      <c r="F2891" s="1"/>
      <c r="G2891" s="1"/>
      <c r="H2891" s="1" t="s">
        <v>67</v>
      </c>
      <c r="I2891" s="13">
        <f>I2887+I2888+I2889+I2890</f>
        <v>0</v>
      </c>
      <c r="J2891" s="1"/>
    </row>
    <row r="2894" spans="1:10" ht="15" x14ac:dyDescent="0.25">
      <c r="A2894" s="21" t="s">
        <v>1601</v>
      </c>
      <c r="B2894" s="22"/>
      <c r="C2894" s="22"/>
      <c r="D2894" s="22"/>
      <c r="E2894" s="22"/>
      <c r="F2894" s="22"/>
      <c r="G2894" s="22"/>
      <c r="H2894" s="22"/>
      <c r="I2894" s="22"/>
      <c r="J2894" s="22"/>
    </row>
    <row r="2895" spans="1:10" ht="15" x14ac:dyDescent="0.25">
      <c r="A2895" s="21" t="s">
        <v>1595</v>
      </c>
      <c r="B2895" s="22"/>
      <c r="C2895" s="22"/>
      <c r="D2895" s="22"/>
      <c r="E2895" s="22"/>
      <c r="F2895" s="22"/>
      <c r="G2895" s="22"/>
      <c r="H2895" s="22"/>
      <c r="I2895" s="22"/>
      <c r="J2895" s="22"/>
    </row>
    <row r="2897" spans="1:10" ht="15" x14ac:dyDescent="0.25">
      <c r="A2897" s="3" t="s">
        <v>2</v>
      </c>
      <c r="B2897" s="3" t="s">
        <v>3</v>
      </c>
      <c r="C2897" s="3" t="s">
        <v>4</v>
      </c>
      <c r="D2897" s="3" t="s">
        <v>5</v>
      </c>
      <c r="E2897" s="3" t="s">
        <v>6</v>
      </c>
      <c r="F2897" s="7" t="s">
        <v>7</v>
      </c>
      <c r="G2897" s="3" t="s">
        <v>8</v>
      </c>
      <c r="H2897" s="7" t="s">
        <v>9</v>
      </c>
      <c r="I2897" s="7" t="s">
        <v>10</v>
      </c>
      <c r="J2897" s="3" t="s">
        <v>11</v>
      </c>
    </row>
    <row r="2898" spans="1:10" ht="149.25" x14ac:dyDescent="0.2">
      <c r="A2898" s="2" t="s">
        <v>1596</v>
      </c>
      <c r="B2898" s="9">
        <v>1</v>
      </c>
      <c r="C2898" s="9">
        <v>3</v>
      </c>
      <c r="D2898" s="10" t="s">
        <v>13</v>
      </c>
      <c r="E2898" s="11" t="s">
        <v>1602</v>
      </c>
      <c r="F2898" s="12">
        <v>565</v>
      </c>
      <c r="G2898" s="10" t="s">
        <v>109</v>
      </c>
      <c r="H2898" s="13"/>
      <c r="I2898" s="13"/>
      <c r="J2898" s="10"/>
    </row>
    <row r="2899" spans="1:10" ht="149.25" x14ac:dyDescent="0.2">
      <c r="A2899" s="2" t="s">
        <v>1596</v>
      </c>
      <c r="B2899" s="9">
        <v>1</v>
      </c>
      <c r="C2899" s="9">
        <v>3</v>
      </c>
      <c r="D2899" s="10" t="s">
        <v>16</v>
      </c>
      <c r="E2899" s="11" t="s">
        <v>1331</v>
      </c>
      <c r="F2899" s="12">
        <v>12</v>
      </c>
      <c r="G2899" s="10" t="s">
        <v>83</v>
      </c>
      <c r="H2899" s="13"/>
      <c r="I2899" s="13"/>
      <c r="J2899" s="10"/>
    </row>
    <row r="2900" spans="1:10" ht="134.25" x14ac:dyDescent="0.2">
      <c r="A2900" s="2" t="s">
        <v>1596</v>
      </c>
      <c r="B2900" s="9">
        <v>1</v>
      </c>
      <c r="C2900" s="9">
        <v>3</v>
      </c>
      <c r="D2900" s="10" t="s">
        <v>18</v>
      </c>
      <c r="E2900" s="11" t="s">
        <v>1285</v>
      </c>
      <c r="F2900" s="12">
        <v>12</v>
      </c>
      <c r="G2900" s="10" t="s">
        <v>31</v>
      </c>
      <c r="H2900" s="13"/>
      <c r="I2900" s="13"/>
      <c r="J2900" s="10"/>
    </row>
    <row r="2901" spans="1:10" x14ac:dyDescent="0.2">
      <c r="A2901" s="2" t="s">
        <v>1596</v>
      </c>
      <c r="B2901" s="9">
        <v>1</v>
      </c>
      <c r="C2901" s="9">
        <v>3</v>
      </c>
      <c r="D2901" s="10" t="s">
        <v>20</v>
      </c>
      <c r="E2901" s="11" t="s">
        <v>1603</v>
      </c>
      <c r="F2901" s="12">
        <v>2</v>
      </c>
      <c r="G2901" s="10" t="s">
        <v>31</v>
      </c>
      <c r="H2901" s="13"/>
      <c r="I2901" s="13"/>
      <c r="J2901" s="10"/>
    </row>
    <row r="2902" spans="1:10" x14ac:dyDescent="0.2">
      <c r="A2902" s="1" t="s">
        <v>1604</v>
      </c>
      <c r="B2902" s="1"/>
      <c r="C2902" s="1"/>
      <c r="D2902" s="1"/>
      <c r="E2902" s="1"/>
      <c r="F2902" s="1"/>
      <c r="G2902" s="1"/>
      <c r="H2902" s="1" t="s">
        <v>67</v>
      </c>
      <c r="I2902" s="13">
        <f>I2898+I2899+I2900+I2901</f>
        <v>0</v>
      </c>
      <c r="J2902" s="1"/>
    </row>
    <row r="2910" spans="1:10" ht="15" x14ac:dyDescent="0.25">
      <c r="A2910" s="3" t="s">
        <v>89</v>
      </c>
      <c r="B2910" s="14"/>
      <c r="C2910" s="14"/>
      <c r="D2910" s="14"/>
      <c r="E2910" s="14"/>
      <c r="F2910" s="14"/>
      <c r="G2910" s="14"/>
      <c r="H2910" s="14"/>
      <c r="I2910" s="7" t="s">
        <v>90</v>
      </c>
    </row>
    <row r="2911" spans="1:10" x14ac:dyDescent="0.2">
      <c r="A2911" s="15" t="s">
        <v>1605</v>
      </c>
      <c r="I2911" s="16">
        <f>I2880</f>
        <v>0</v>
      </c>
    </row>
    <row r="2912" spans="1:10" x14ac:dyDescent="0.2">
      <c r="A2912" s="15" t="s">
        <v>1606</v>
      </c>
      <c r="I2912" s="16">
        <f>I2891</f>
        <v>0</v>
      </c>
    </row>
    <row r="2913" spans="1:10" x14ac:dyDescent="0.2">
      <c r="A2913" s="15" t="s">
        <v>1607</v>
      </c>
      <c r="I2913" s="16">
        <f>I2902</f>
        <v>0</v>
      </c>
    </row>
    <row r="2914" spans="1:10" x14ac:dyDescent="0.2">
      <c r="A2914" s="15"/>
      <c r="I2914" s="15"/>
    </row>
    <row r="2915" spans="1:10" x14ac:dyDescent="0.2">
      <c r="A2915" s="17"/>
      <c r="B2915" s="18"/>
      <c r="C2915" s="18"/>
      <c r="D2915" s="18"/>
      <c r="E2915" s="18"/>
      <c r="F2915" s="18"/>
      <c r="G2915" s="18"/>
      <c r="H2915" s="18"/>
      <c r="I2915" s="17"/>
    </row>
    <row r="2916" spans="1:10" x14ac:dyDescent="0.2">
      <c r="H2916" s="4" t="s">
        <v>95</v>
      </c>
      <c r="I2916" s="13">
        <f>SUM(I2911:I2915)</f>
        <v>0</v>
      </c>
    </row>
    <row r="2920" spans="1:10" ht="15" x14ac:dyDescent="0.25">
      <c r="A2920" s="21" t="s">
        <v>1608</v>
      </c>
      <c r="B2920" s="22"/>
      <c r="C2920" s="22"/>
      <c r="D2920" s="22"/>
      <c r="E2920" s="22"/>
      <c r="F2920" s="22"/>
      <c r="G2920" s="22"/>
      <c r="H2920" s="22"/>
      <c r="I2920" s="22"/>
      <c r="J2920" s="22"/>
    </row>
    <row r="2921" spans="1:10" ht="15" x14ac:dyDescent="0.25">
      <c r="A2921" s="21" t="s">
        <v>1609</v>
      </c>
      <c r="B2921" s="22"/>
      <c r="C2921" s="22"/>
      <c r="D2921" s="22"/>
      <c r="E2921" s="22"/>
      <c r="F2921" s="22"/>
      <c r="G2921" s="22"/>
      <c r="H2921" s="22"/>
      <c r="I2921" s="22"/>
      <c r="J2921" s="22"/>
    </row>
    <row r="2923" spans="1:10" ht="15" x14ac:dyDescent="0.25">
      <c r="A2923" s="3" t="s">
        <v>2</v>
      </c>
      <c r="B2923" s="3" t="s">
        <v>3</v>
      </c>
      <c r="C2923" s="3" t="s">
        <v>4</v>
      </c>
      <c r="D2923" s="3" t="s">
        <v>5</v>
      </c>
      <c r="E2923" s="3" t="s">
        <v>6</v>
      </c>
      <c r="F2923" s="7" t="s">
        <v>7</v>
      </c>
      <c r="G2923" s="3" t="s">
        <v>8</v>
      </c>
      <c r="H2923" s="7" t="s">
        <v>9</v>
      </c>
      <c r="I2923" s="7" t="s">
        <v>10</v>
      </c>
      <c r="J2923" s="3" t="s">
        <v>11</v>
      </c>
    </row>
    <row r="2924" spans="1:10" x14ac:dyDescent="0.2">
      <c r="A2924" s="2" t="s">
        <v>1610</v>
      </c>
      <c r="B2924" s="9">
        <v>1</v>
      </c>
      <c r="C2924" s="9">
        <v>1</v>
      </c>
      <c r="D2924" s="10" t="s">
        <v>13</v>
      </c>
      <c r="E2924" s="11" t="s">
        <v>1304</v>
      </c>
      <c r="F2924" s="12">
        <v>0</v>
      </c>
      <c r="G2924" s="10"/>
      <c r="H2924" s="13"/>
      <c r="I2924" s="6"/>
      <c r="J2924" s="10"/>
    </row>
    <row r="2925" spans="1:10" x14ac:dyDescent="0.2">
      <c r="A2925" s="1" t="s">
        <v>1611</v>
      </c>
      <c r="B2925" s="1"/>
      <c r="C2925" s="1"/>
      <c r="D2925" s="1"/>
      <c r="E2925" s="1"/>
      <c r="F2925" s="1"/>
      <c r="G2925" s="1"/>
      <c r="H2925" s="1" t="s">
        <v>67</v>
      </c>
      <c r="I2925" s="13"/>
      <c r="J2925" s="1"/>
    </row>
    <row r="2933" spans="1:10" ht="15" x14ac:dyDescent="0.25">
      <c r="A2933" s="3" t="s">
        <v>89</v>
      </c>
      <c r="B2933" s="14"/>
      <c r="C2933" s="14"/>
      <c r="D2933" s="14"/>
      <c r="E2933" s="14"/>
      <c r="F2933" s="14"/>
      <c r="G2933" s="14"/>
      <c r="H2933" s="14"/>
      <c r="I2933" s="7" t="s">
        <v>90</v>
      </c>
    </row>
    <row r="2934" spans="1:10" x14ac:dyDescent="0.2">
      <c r="A2934" s="15" t="s">
        <v>1612</v>
      </c>
      <c r="I2934" s="16">
        <f>I2925</f>
        <v>0</v>
      </c>
    </row>
    <row r="2935" spans="1:10" x14ac:dyDescent="0.2">
      <c r="A2935" s="15"/>
      <c r="I2935" s="15"/>
    </row>
    <row r="2936" spans="1:10" x14ac:dyDescent="0.2">
      <c r="A2936" s="17"/>
      <c r="B2936" s="18"/>
      <c r="C2936" s="18"/>
      <c r="D2936" s="18"/>
      <c r="E2936" s="18"/>
      <c r="F2936" s="18"/>
      <c r="G2936" s="18"/>
      <c r="H2936" s="18"/>
      <c r="I2936" s="17"/>
    </row>
    <row r="2937" spans="1:10" x14ac:dyDescent="0.2">
      <c r="H2937" s="4" t="s">
        <v>95</v>
      </c>
      <c r="I2937" s="13">
        <f>SUM(I2934:I2936)</f>
        <v>0</v>
      </c>
    </row>
    <row r="2941" spans="1:10" ht="15" x14ac:dyDescent="0.25">
      <c r="A2941" s="21" t="s">
        <v>1613</v>
      </c>
      <c r="B2941" s="22"/>
      <c r="C2941" s="22"/>
      <c r="D2941" s="22"/>
      <c r="E2941" s="22"/>
      <c r="F2941" s="22"/>
      <c r="G2941" s="22"/>
      <c r="H2941" s="22"/>
      <c r="I2941" s="22"/>
      <c r="J2941" s="22"/>
    </row>
    <row r="2942" spans="1:10" ht="15" x14ac:dyDescent="0.25">
      <c r="A2942" s="21" t="s">
        <v>1614</v>
      </c>
      <c r="B2942" s="22"/>
      <c r="C2942" s="22"/>
      <c r="D2942" s="22"/>
      <c r="E2942" s="22"/>
      <c r="F2942" s="22"/>
      <c r="G2942" s="22"/>
      <c r="H2942" s="22"/>
      <c r="I2942" s="22"/>
      <c r="J2942" s="22"/>
    </row>
    <row r="2944" spans="1:10" ht="15" x14ac:dyDescent="0.25">
      <c r="A2944" s="3" t="s">
        <v>2</v>
      </c>
      <c r="B2944" s="3" t="s">
        <v>3</v>
      </c>
      <c r="C2944" s="3" t="s">
        <v>4</v>
      </c>
      <c r="D2944" s="3" t="s">
        <v>5</v>
      </c>
      <c r="E2944" s="3" t="s">
        <v>6</v>
      </c>
      <c r="F2944" s="7" t="s">
        <v>7</v>
      </c>
      <c r="G2944" s="3" t="s">
        <v>8</v>
      </c>
      <c r="H2944" s="7" t="s">
        <v>9</v>
      </c>
      <c r="I2944" s="7" t="s">
        <v>10</v>
      </c>
      <c r="J2944" s="3" t="s">
        <v>11</v>
      </c>
    </row>
    <row r="2945" spans="1:10" ht="179.25" x14ac:dyDescent="0.2">
      <c r="A2945" s="2" t="s">
        <v>1615</v>
      </c>
      <c r="B2945" s="9">
        <v>1</v>
      </c>
      <c r="C2945" s="9">
        <v>1</v>
      </c>
      <c r="D2945" s="10" t="s">
        <v>13</v>
      </c>
      <c r="E2945" s="11" t="s">
        <v>1616</v>
      </c>
      <c r="F2945" s="12">
        <v>35</v>
      </c>
      <c r="G2945" s="10" t="s">
        <v>83</v>
      </c>
      <c r="H2945" s="13"/>
      <c r="I2945" s="13"/>
      <c r="J2945" s="10"/>
    </row>
    <row r="2946" spans="1:10" x14ac:dyDescent="0.2">
      <c r="A2946" s="2" t="s">
        <v>1615</v>
      </c>
      <c r="B2946" s="9">
        <v>1</v>
      </c>
      <c r="C2946" s="9">
        <v>1</v>
      </c>
      <c r="D2946" s="10" t="s">
        <v>16</v>
      </c>
      <c r="E2946" s="11" t="s">
        <v>1566</v>
      </c>
      <c r="F2946" s="12">
        <v>45</v>
      </c>
      <c r="G2946" s="10" t="s">
        <v>83</v>
      </c>
      <c r="H2946" s="13"/>
      <c r="I2946" s="13"/>
      <c r="J2946" s="10"/>
    </row>
    <row r="2947" spans="1:10" x14ac:dyDescent="0.2">
      <c r="A2947" s="2" t="s">
        <v>1615</v>
      </c>
      <c r="B2947" s="9">
        <v>1</v>
      </c>
      <c r="C2947" s="9">
        <v>1</v>
      </c>
      <c r="D2947" s="10" t="s">
        <v>18</v>
      </c>
      <c r="E2947" s="11" t="s">
        <v>1617</v>
      </c>
      <c r="F2947" s="12">
        <v>63</v>
      </c>
      <c r="G2947" s="10" t="s">
        <v>83</v>
      </c>
      <c r="H2947" s="13"/>
      <c r="I2947" s="13"/>
      <c r="J2947" s="10"/>
    </row>
    <row r="2948" spans="1:10" ht="59.25" x14ac:dyDescent="0.2">
      <c r="A2948" s="2" t="s">
        <v>1615</v>
      </c>
      <c r="B2948" s="9">
        <v>1</v>
      </c>
      <c r="C2948" s="9">
        <v>1</v>
      </c>
      <c r="D2948" s="10" t="s">
        <v>20</v>
      </c>
      <c r="E2948" s="11" t="s">
        <v>1417</v>
      </c>
      <c r="F2948" s="12">
        <v>20</v>
      </c>
      <c r="G2948" s="10" t="s">
        <v>83</v>
      </c>
      <c r="H2948" s="13"/>
      <c r="I2948" s="13"/>
      <c r="J2948" s="10"/>
    </row>
    <row r="2949" spans="1:10" x14ac:dyDescent="0.2">
      <c r="A2949" s="2" t="s">
        <v>1615</v>
      </c>
      <c r="B2949" s="9">
        <v>1</v>
      </c>
      <c r="C2949" s="9">
        <v>1</v>
      </c>
      <c r="D2949" s="10" t="s">
        <v>22</v>
      </c>
      <c r="E2949" s="11" t="s">
        <v>1419</v>
      </c>
      <c r="F2949" s="12">
        <v>30</v>
      </c>
      <c r="G2949" s="10" t="s">
        <v>83</v>
      </c>
      <c r="H2949" s="13"/>
      <c r="I2949" s="13"/>
      <c r="J2949" s="10"/>
    </row>
    <row r="2950" spans="1:10" x14ac:dyDescent="0.2">
      <c r="A2950" s="2" t="s">
        <v>1615</v>
      </c>
      <c r="B2950" s="9">
        <v>1</v>
      </c>
      <c r="C2950" s="9">
        <v>1</v>
      </c>
      <c r="D2950" s="10" t="s">
        <v>24</v>
      </c>
      <c r="E2950" s="11" t="s">
        <v>1420</v>
      </c>
      <c r="F2950" s="12">
        <v>19</v>
      </c>
      <c r="G2950" s="10" t="s">
        <v>83</v>
      </c>
      <c r="H2950" s="13"/>
      <c r="I2950" s="13"/>
      <c r="J2950" s="10"/>
    </row>
    <row r="2951" spans="1:10" ht="74.25" x14ac:dyDescent="0.2">
      <c r="A2951" s="2" t="s">
        <v>1615</v>
      </c>
      <c r="B2951" s="9">
        <v>1</v>
      </c>
      <c r="C2951" s="9">
        <v>1</v>
      </c>
      <c r="D2951" s="10" t="s">
        <v>27</v>
      </c>
      <c r="E2951" s="11" t="s">
        <v>1421</v>
      </c>
      <c r="F2951" s="12">
        <v>55.000000000000007</v>
      </c>
      <c r="G2951" s="10" t="s">
        <v>83</v>
      </c>
      <c r="H2951" s="13"/>
      <c r="I2951" s="13"/>
      <c r="J2951" s="10"/>
    </row>
    <row r="2952" spans="1:10" x14ac:dyDescent="0.2">
      <c r="A2952" s="2" t="s">
        <v>1615</v>
      </c>
      <c r="B2952" s="9">
        <v>1</v>
      </c>
      <c r="C2952" s="9">
        <v>1</v>
      </c>
      <c r="D2952" s="10" t="s">
        <v>29</v>
      </c>
      <c r="E2952" s="11" t="s">
        <v>1423</v>
      </c>
      <c r="F2952" s="12">
        <v>30</v>
      </c>
      <c r="G2952" s="10" t="s">
        <v>83</v>
      </c>
      <c r="H2952" s="13"/>
      <c r="I2952" s="13"/>
      <c r="J2952" s="10"/>
    </row>
    <row r="2953" spans="1:10" x14ac:dyDescent="0.2">
      <c r="A2953" s="2" t="s">
        <v>1615</v>
      </c>
      <c r="B2953" s="9">
        <v>1</v>
      </c>
      <c r="C2953" s="9">
        <v>1</v>
      </c>
      <c r="D2953" s="10" t="s">
        <v>32</v>
      </c>
      <c r="E2953" s="11" t="s">
        <v>1424</v>
      </c>
      <c r="F2953" s="12">
        <v>64</v>
      </c>
      <c r="G2953" s="10" t="s">
        <v>83</v>
      </c>
      <c r="H2953" s="13"/>
      <c r="I2953" s="13"/>
      <c r="J2953" s="10"/>
    </row>
    <row r="2954" spans="1:10" x14ac:dyDescent="0.2">
      <c r="A2954" s="2" t="s">
        <v>1615</v>
      </c>
      <c r="B2954" s="9">
        <v>1</v>
      </c>
      <c r="C2954" s="9">
        <v>1</v>
      </c>
      <c r="D2954" s="10" t="s">
        <v>33</v>
      </c>
      <c r="E2954" s="11" t="s">
        <v>1618</v>
      </c>
      <c r="F2954" s="12">
        <v>63</v>
      </c>
      <c r="G2954" s="10" t="s">
        <v>83</v>
      </c>
      <c r="H2954" s="13"/>
      <c r="I2954" s="13"/>
      <c r="J2954" s="10"/>
    </row>
    <row r="2955" spans="1:10" x14ac:dyDescent="0.2">
      <c r="A2955" s="1" t="s">
        <v>1619</v>
      </c>
      <c r="B2955" s="1"/>
      <c r="C2955" s="1"/>
      <c r="D2955" s="1"/>
      <c r="E2955" s="1"/>
      <c r="F2955" s="1"/>
      <c r="G2955" s="1"/>
      <c r="H2955" s="1" t="s">
        <v>67</v>
      </c>
      <c r="I2955" s="13">
        <f>I2945+I2946+I2947+I2948+I2949+I2950+I2951+I2952+I2953+I2954</f>
        <v>0</v>
      </c>
      <c r="J2955" s="1"/>
    </row>
    <row r="2958" spans="1:10" ht="15" x14ac:dyDescent="0.25">
      <c r="A2958" s="21" t="s">
        <v>1620</v>
      </c>
      <c r="B2958" s="22"/>
      <c r="C2958" s="22"/>
      <c r="D2958" s="22"/>
      <c r="E2958" s="22"/>
      <c r="F2958" s="22"/>
      <c r="G2958" s="22"/>
      <c r="H2958" s="22"/>
      <c r="I2958" s="22"/>
      <c r="J2958" s="22"/>
    </row>
    <row r="2959" spans="1:10" ht="15" x14ac:dyDescent="0.25">
      <c r="A2959" s="21" t="s">
        <v>1614</v>
      </c>
      <c r="B2959" s="22"/>
      <c r="C2959" s="22"/>
      <c r="D2959" s="22"/>
      <c r="E2959" s="22"/>
      <c r="F2959" s="22"/>
      <c r="G2959" s="22"/>
      <c r="H2959" s="22"/>
      <c r="I2959" s="22"/>
      <c r="J2959" s="22"/>
    </row>
    <row r="2961" spans="1:10" ht="15" x14ac:dyDescent="0.25">
      <c r="A2961" s="3" t="s">
        <v>2</v>
      </c>
      <c r="B2961" s="3" t="s">
        <v>3</v>
      </c>
      <c r="C2961" s="3" t="s">
        <v>4</v>
      </c>
      <c r="D2961" s="3" t="s">
        <v>5</v>
      </c>
      <c r="E2961" s="3" t="s">
        <v>6</v>
      </c>
      <c r="F2961" s="7" t="s">
        <v>7</v>
      </c>
      <c r="G2961" s="3" t="s">
        <v>8</v>
      </c>
      <c r="H2961" s="7" t="s">
        <v>9</v>
      </c>
      <c r="I2961" s="7" t="s">
        <v>10</v>
      </c>
      <c r="J2961" s="3" t="s">
        <v>11</v>
      </c>
    </row>
    <row r="2962" spans="1:10" ht="74.25" x14ac:dyDescent="0.2">
      <c r="A2962" s="2" t="s">
        <v>1615</v>
      </c>
      <c r="B2962" s="9">
        <v>1</v>
      </c>
      <c r="C2962" s="9">
        <v>2</v>
      </c>
      <c r="D2962" s="10" t="s">
        <v>13</v>
      </c>
      <c r="E2962" s="11" t="s">
        <v>1621</v>
      </c>
      <c r="F2962" s="12">
        <v>1</v>
      </c>
      <c r="G2962" s="10" t="s">
        <v>31</v>
      </c>
      <c r="H2962" s="13"/>
      <c r="I2962" s="13"/>
      <c r="J2962" s="10"/>
    </row>
    <row r="2963" spans="1:10" ht="44.25" x14ac:dyDescent="0.2">
      <c r="A2963" s="2" t="s">
        <v>1615</v>
      </c>
      <c r="B2963" s="9">
        <v>1</v>
      </c>
      <c r="C2963" s="9">
        <v>2</v>
      </c>
      <c r="D2963" s="10" t="s">
        <v>16</v>
      </c>
      <c r="E2963" s="11" t="s">
        <v>1622</v>
      </c>
      <c r="F2963" s="12">
        <v>3</v>
      </c>
      <c r="G2963" s="10" t="s">
        <v>31</v>
      </c>
      <c r="H2963" s="13"/>
      <c r="I2963" s="13"/>
      <c r="J2963" s="10"/>
    </row>
    <row r="2964" spans="1:10" ht="74.25" x14ac:dyDescent="0.2">
      <c r="A2964" s="2" t="s">
        <v>1615</v>
      </c>
      <c r="B2964" s="9">
        <v>1</v>
      </c>
      <c r="C2964" s="9">
        <v>2</v>
      </c>
      <c r="D2964" s="10" t="s">
        <v>18</v>
      </c>
      <c r="E2964" s="11" t="s">
        <v>1429</v>
      </c>
      <c r="F2964" s="12">
        <v>102</v>
      </c>
      <c r="G2964" s="10" t="s">
        <v>83</v>
      </c>
      <c r="H2964" s="13"/>
      <c r="I2964" s="13"/>
      <c r="J2964" s="10"/>
    </row>
    <row r="2965" spans="1:10" ht="44.25" x14ac:dyDescent="0.2">
      <c r="A2965" s="2" t="s">
        <v>1615</v>
      </c>
      <c r="B2965" s="9">
        <v>1</v>
      </c>
      <c r="C2965" s="9">
        <v>2</v>
      </c>
      <c r="D2965" s="10" t="s">
        <v>20</v>
      </c>
      <c r="E2965" s="11" t="s">
        <v>1430</v>
      </c>
      <c r="F2965" s="12">
        <v>35</v>
      </c>
      <c r="G2965" s="10" t="s">
        <v>83</v>
      </c>
      <c r="H2965" s="13"/>
      <c r="I2965" s="13"/>
      <c r="J2965" s="10"/>
    </row>
    <row r="2966" spans="1:10" x14ac:dyDescent="0.2">
      <c r="A2966" s="2" t="s">
        <v>1615</v>
      </c>
      <c r="B2966" s="9">
        <v>1</v>
      </c>
      <c r="C2966" s="9">
        <v>2</v>
      </c>
      <c r="D2966" s="10" t="s">
        <v>22</v>
      </c>
      <c r="E2966" s="11" t="s">
        <v>1432</v>
      </c>
      <c r="F2966" s="12">
        <v>40</v>
      </c>
      <c r="G2966" s="10" t="s">
        <v>83</v>
      </c>
      <c r="H2966" s="13"/>
      <c r="I2966" s="13"/>
      <c r="J2966" s="10"/>
    </row>
    <row r="2967" spans="1:10" x14ac:dyDescent="0.2">
      <c r="A2967" s="2" t="s">
        <v>1615</v>
      </c>
      <c r="B2967" s="9">
        <v>1</v>
      </c>
      <c r="C2967" s="9">
        <v>2</v>
      </c>
      <c r="D2967" s="10" t="s">
        <v>24</v>
      </c>
      <c r="E2967" s="11" t="s">
        <v>1623</v>
      </c>
      <c r="F2967" s="12">
        <v>64</v>
      </c>
      <c r="G2967" s="10" t="s">
        <v>83</v>
      </c>
      <c r="H2967" s="13"/>
      <c r="I2967" s="13"/>
      <c r="J2967" s="10"/>
    </row>
    <row r="2968" spans="1:10" x14ac:dyDescent="0.2">
      <c r="A2968" s="2" t="s">
        <v>1615</v>
      </c>
      <c r="B2968" s="9">
        <v>1</v>
      </c>
      <c r="C2968" s="9">
        <v>2</v>
      </c>
      <c r="D2968" s="10" t="s">
        <v>27</v>
      </c>
      <c r="E2968" s="11" t="s">
        <v>1572</v>
      </c>
      <c r="F2968" s="12">
        <v>60</v>
      </c>
      <c r="G2968" s="10" t="s">
        <v>83</v>
      </c>
      <c r="H2968" s="13"/>
      <c r="I2968" s="13"/>
      <c r="J2968" s="10"/>
    </row>
    <row r="2969" spans="1:10" ht="74.25" x14ac:dyDescent="0.2">
      <c r="A2969" s="2" t="s">
        <v>1615</v>
      </c>
      <c r="B2969" s="9">
        <v>1</v>
      </c>
      <c r="C2969" s="9">
        <v>2</v>
      </c>
      <c r="D2969" s="10" t="s">
        <v>29</v>
      </c>
      <c r="E2969" s="11" t="s">
        <v>1575</v>
      </c>
      <c r="F2969" s="12">
        <v>2</v>
      </c>
      <c r="G2969" s="10" t="s">
        <v>31</v>
      </c>
      <c r="H2969" s="13"/>
      <c r="I2969" s="13"/>
      <c r="J2969" s="10"/>
    </row>
    <row r="2970" spans="1:10" x14ac:dyDescent="0.2">
      <c r="A2970" s="2" t="s">
        <v>1615</v>
      </c>
      <c r="B2970" s="9">
        <v>1</v>
      </c>
      <c r="C2970" s="9">
        <v>2</v>
      </c>
      <c r="D2970" s="10" t="s">
        <v>32</v>
      </c>
      <c r="E2970" s="11" t="s">
        <v>1439</v>
      </c>
      <c r="F2970" s="12">
        <v>2</v>
      </c>
      <c r="G2970" s="10" t="s">
        <v>31</v>
      </c>
      <c r="H2970" s="13"/>
      <c r="I2970" s="13"/>
      <c r="J2970" s="10"/>
    </row>
    <row r="2971" spans="1:10" x14ac:dyDescent="0.2">
      <c r="A2971" s="2" t="s">
        <v>1615</v>
      </c>
      <c r="B2971" s="9">
        <v>1</v>
      </c>
      <c r="C2971" s="9">
        <v>2</v>
      </c>
      <c r="D2971" s="10" t="s">
        <v>33</v>
      </c>
      <c r="E2971" s="11" t="s">
        <v>1624</v>
      </c>
      <c r="F2971" s="12">
        <v>2</v>
      </c>
      <c r="G2971" s="10" t="s">
        <v>31</v>
      </c>
      <c r="H2971" s="13"/>
      <c r="I2971" s="13"/>
      <c r="J2971" s="10"/>
    </row>
    <row r="2972" spans="1:10" x14ac:dyDescent="0.2">
      <c r="A2972" s="2" t="s">
        <v>1615</v>
      </c>
      <c r="B2972" s="9">
        <v>1</v>
      </c>
      <c r="C2972" s="9">
        <v>2</v>
      </c>
      <c r="D2972" s="10" t="s">
        <v>34</v>
      </c>
      <c r="E2972" s="11" t="s">
        <v>1625</v>
      </c>
      <c r="F2972" s="12">
        <v>2</v>
      </c>
      <c r="G2972" s="10" t="s">
        <v>31</v>
      </c>
      <c r="H2972" s="13"/>
      <c r="I2972" s="13"/>
      <c r="J2972" s="10"/>
    </row>
    <row r="2973" spans="1:10" x14ac:dyDescent="0.2">
      <c r="A2973" s="2" t="s">
        <v>1615</v>
      </c>
      <c r="B2973" s="9">
        <v>1</v>
      </c>
      <c r="C2973" s="9">
        <v>2</v>
      </c>
      <c r="D2973" s="10" t="s">
        <v>35</v>
      </c>
      <c r="E2973" s="11" t="s">
        <v>1626</v>
      </c>
      <c r="F2973" s="12">
        <v>3</v>
      </c>
      <c r="G2973" s="10" t="s">
        <v>31</v>
      </c>
      <c r="H2973" s="13"/>
      <c r="I2973" s="13"/>
      <c r="J2973" s="10"/>
    </row>
    <row r="2974" spans="1:10" x14ac:dyDescent="0.2">
      <c r="A2974" s="2" t="s">
        <v>1615</v>
      </c>
      <c r="B2974" s="9">
        <v>1</v>
      </c>
      <c r="C2974" s="9">
        <v>2</v>
      </c>
      <c r="D2974" s="10" t="s">
        <v>36</v>
      </c>
      <c r="E2974" s="11" t="s">
        <v>1627</v>
      </c>
      <c r="F2974" s="12">
        <v>10</v>
      </c>
      <c r="G2974" s="10" t="s">
        <v>31</v>
      </c>
      <c r="H2974" s="13"/>
      <c r="I2974" s="13"/>
      <c r="J2974" s="10"/>
    </row>
    <row r="2975" spans="1:10" x14ac:dyDescent="0.2">
      <c r="A2975" s="2" t="s">
        <v>1615</v>
      </c>
      <c r="B2975" s="9">
        <v>1</v>
      </c>
      <c r="C2975" s="9">
        <v>2</v>
      </c>
      <c r="D2975" s="10" t="s">
        <v>40</v>
      </c>
      <c r="E2975" s="11" t="s">
        <v>1628</v>
      </c>
      <c r="F2975" s="12">
        <v>2</v>
      </c>
      <c r="G2975" s="10" t="s">
        <v>31</v>
      </c>
      <c r="H2975" s="13"/>
      <c r="I2975" s="13"/>
      <c r="J2975" s="10"/>
    </row>
    <row r="2976" spans="1:10" x14ac:dyDescent="0.2">
      <c r="A2976" s="1" t="s">
        <v>1629</v>
      </c>
      <c r="B2976" s="1"/>
      <c r="C2976" s="1"/>
      <c r="D2976" s="1"/>
      <c r="E2976" s="1"/>
      <c r="F2976" s="1"/>
      <c r="G2976" s="1"/>
      <c r="H2976" s="1" t="s">
        <v>67</v>
      </c>
      <c r="I2976" s="13">
        <f>I2962+I2963+I2964+I2965+I2966+I2967+I2968+I2969+I2970+I2971+I2972+I2973+I2974+I2975</f>
        <v>0</v>
      </c>
      <c r="J2976" s="1"/>
    </row>
    <row r="2979" spans="1:10" ht="15" x14ac:dyDescent="0.25">
      <c r="A2979" s="21" t="s">
        <v>1630</v>
      </c>
      <c r="B2979" s="22"/>
      <c r="C2979" s="22"/>
      <c r="D2979" s="22"/>
      <c r="E2979" s="22"/>
      <c r="F2979" s="22"/>
      <c r="G2979" s="22"/>
      <c r="H2979" s="22"/>
      <c r="I2979" s="22"/>
      <c r="J2979" s="22"/>
    </row>
    <row r="2980" spans="1:10" ht="15" x14ac:dyDescent="0.25">
      <c r="A2980" s="21" t="s">
        <v>1614</v>
      </c>
      <c r="B2980" s="22"/>
      <c r="C2980" s="22"/>
      <c r="D2980" s="22"/>
      <c r="E2980" s="22"/>
      <c r="F2980" s="22"/>
      <c r="G2980" s="22"/>
      <c r="H2980" s="22"/>
      <c r="I2980" s="22"/>
      <c r="J2980" s="22"/>
    </row>
    <row r="2982" spans="1:10" ht="15" x14ac:dyDescent="0.25">
      <c r="A2982" s="3" t="s">
        <v>2</v>
      </c>
      <c r="B2982" s="3" t="s">
        <v>3</v>
      </c>
      <c r="C2982" s="3" t="s">
        <v>4</v>
      </c>
      <c r="D2982" s="3" t="s">
        <v>5</v>
      </c>
      <c r="E2982" s="3" t="s">
        <v>6</v>
      </c>
      <c r="F2982" s="7" t="s">
        <v>7</v>
      </c>
      <c r="G2982" s="3" t="s">
        <v>8</v>
      </c>
      <c r="H2982" s="7" t="s">
        <v>9</v>
      </c>
      <c r="I2982" s="7" t="s">
        <v>10</v>
      </c>
      <c r="J2982" s="3" t="s">
        <v>11</v>
      </c>
    </row>
    <row r="2983" spans="1:10" ht="74.25" x14ac:dyDescent="0.2">
      <c r="A2983" s="2" t="s">
        <v>1615</v>
      </c>
      <c r="B2983" s="9">
        <v>1</v>
      </c>
      <c r="C2983" s="9">
        <v>3</v>
      </c>
      <c r="D2983" s="10" t="s">
        <v>13</v>
      </c>
      <c r="E2983" s="11" t="s">
        <v>1445</v>
      </c>
      <c r="F2983" s="12">
        <v>30</v>
      </c>
      <c r="G2983" s="10" t="s">
        <v>83</v>
      </c>
      <c r="H2983" s="13"/>
      <c r="I2983" s="13"/>
      <c r="J2983" s="10"/>
    </row>
    <row r="2984" spans="1:10" x14ac:dyDescent="0.2">
      <c r="A2984" s="2" t="s">
        <v>1615</v>
      </c>
      <c r="B2984" s="9">
        <v>1</v>
      </c>
      <c r="C2984" s="9">
        <v>3</v>
      </c>
      <c r="D2984" s="10" t="s">
        <v>16</v>
      </c>
      <c r="E2984" s="11" t="s">
        <v>1446</v>
      </c>
      <c r="F2984" s="12">
        <v>0</v>
      </c>
      <c r="G2984" s="10" t="s">
        <v>83</v>
      </c>
      <c r="H2984" s="13"/>
      <c r="I2984" s="13"/>
      <c r="J2984" s="10"/>
    </row>
    <row r="2985" spans="1:10" x14ac:dyDescent="0.2">
      <c r="A2985" s="2" t="s">
        <v>1615</v>
      </c>
      <c r="B2985" s="9">
        <v>1</v>
      </c>
      <c r="C2985" s="9">
        <v>3</v>
      </c>
      <c r="D2985" s="10" t="s">
        <v>18</v>
      </c>
      <c r="E2985" s="11" t="s">
        <v>1447</v>
      </c>
      <c r="F2985" s="12">
        <v>0</v>
      </c>
      <c r="G2985" s="10" t="s">
        <v>83</v>
      </c>
      <c r="H2985" s="13"/>
      <c r="I2985" s="13"/>
      <c r="J2985" s="10"/>
    </row>
    <row r="2986" spans="1:10" x14ac:dyDescent="0.2">
      <c r="A2986" s="2" t="s">
        <v>1615</v>
      </c>
      <c r="B2986" s="9">
        <v>1</v>
      </c>
      <c r="C2986" s="9">
        <v>3</v>
      </c>
      <c r="D2986" s="10" t="s">
        <v>20</v>
      </c>
      <c r="E2986" s="11" t="s">
        <v>1582</v>
      </c>
      <c r="F2986" s="12">
        <v>45</v>
      </c>
      <c r="G2986" s="10" t="s">
        <v>83</v>
      </c>
      <c r="H2986" s="13"/>
      <c r="I2986" s="13"/>
      <c r="J2986" s="10"/>
    </row>
    <row r="2987" spans="1:10" x14ac:dyDescent="0.2">
      <c r="A2987" s="2" t="s">
        <v>1615</v>
      </c>
      <c r="B2987" s="9">
        <v>1</v>
      </c>
      <c r="C2987" s="9">
        <v>3</v>
      </c>
      <c r="D2987" s="10" t="s">
        <v>22</v>
      </c>
      <c r="E2987" s="11" t="s">
        <v>1631</v>
      </c>
      <c r="F2987" s="12">
        <v>19</v>
      </c>
      <c r="G2987" s="10" t="s">
        <v>83</v>
      </c>
      <c r="H2987" s="13"/>
      <c r="I2987" s="13"/>
      <c r="J2987" s="10"/>
    </row>
    <row r="2988" spans="1:10" x14ac:dyDescent="0.2">
      <c r="A2988" s="2" t="s">
        <v>1615</v>
      </c>
      <c r="B2988" s="9">
        <v>1</v>
      </c>
      <c r="C2988" s="9">
        <v>3</v>
      </c>
      <c r="D2988" s="10" t="s">
        <v>24</v>
      </c>
      <c r="E2988" s="11" t="s">
        <v>1618</v>
      </c>
      <c r="F2988" s="12">
        <v>63</v>
      </c>
      <c r="G2988" s="10" t="s">
        <v>83</v>
      </c>
      <c r="H2988" s="13"/>
      <c r="I2988" s="13"/>
      <c r="J2988" s="10"/>
    </row>
    <row r="2989" spans="1:10" ht="89.25" x14ac:dyDescent="0.2">
      <c r="A2989" s="2" t="s">
        <v>1615</v>
      </c>
      <c r="B2989" s="9">
        <v>1</v>
      </c>
      <c r="C2989" s="9">
        <v>3</v>
      </c>
      <c r="D2989" s="10" t="s">
        <v>27</v>
      </c>
      <c r="E2989" s="11" t="s">
        <v>1450</v>
      </c>
      <c r="F2989" s="12">
        <v>1</v>
      </c>
      <c r="G2989" s="10" t="s">
        <v>15</v>
      </c>
      <c r="H2989" s="13"/>
      <c r="I2989" s="6"/>
      <c r="J2989" s="10"/>
    </row>
    <row r="2990" spans="1:10" x14ac:dyDescent="0.2">
      <c r="A2990" s="2" t="s">
        <v>1615</v>
      </c>
      <c r="B2990" s="9">
        <v>1</v>
      </c>
      <c r="C2990" s="9">
        <v>3</v>
      </c>
      <c r="D2990" s="10" t="s">
        <v>29</v>
      </c>
      <c r="E2990" s="11" t="s">
        <v>1452</v>
      </c>
      <c r="F2990" s="12">
        <v>1</v>
      </c>
      <c r="G2990" s="10" t="s">
        <v>15</v>
      </c>
      <c r="H2990" s="13"/>
      <c r="I2990" s="6"/>
      <c r="J2990" s="10"/>
    </row>
    <row r="2991" spans="1:10" x14ac:dyDescent="0.2">
      <c r="A2991" s="2" t="s">
        <v>1615</v>
      </c>
      <c r="B2991" s="9">
        <v>1</v>
      </c>
      <c r="C2991" s="9">
        <v>3</v>
      </c>
      <c r="D2991" s="10" t="s">
        <v>32</v>
      </c>
      <c r="E2991" s="11" t="s">
        <v>1453</v>
      </c>
      <c r="F2991" s="12">
        <v>1</v>
      </c>
      <c r="G2991" s="10" t="s">
        <v>15</v>
      </c>
      <c r="H2991" s="13"/>
      <c r="I2991" s="6"/>
      <c r="J2991" s="10"/>
    </row>
    <row r="2992" spans="1:10" x14ac:dyDescent="0.2">
      <c r="A2992" s="2" t="s">
        <v>1615</v>
      </c>
      <c r="B2992" s="9">
        <v>1</v>
      </c>
      <c r="C2992" s="9">
        <v>3</v>
      </c>
      <c r="D2992" s="10" t="s">
        <v>33</v>
      </c>
      <c r="E2992" s="11" t="s">
        <v>1632</v>
      </c>
      <c r="F2992" s="12">
        <v>1</v>
      </c>
      <c r="G2992" s="10" t="s">
        <v>15</v>
      </c>
      <c r="H2992" s="13"/>
      <c r="I2992" s="6"/>
      <c r="J2992" s="10"/>
    </row>
    <row r="2993" spans="1:10" x14ac:dyDescent="0.2">
      <c r="A2993" s="1" t="s">
        <v>1633</v>
      </c>
      <c r="B2993" s="1"/>
      <c r="C2993" s="1"/>
      <c r="D2993" s="1"/>
      <c r="E2993" s="1"/>
      <c r="F2993" s="1"/>
      <c r="G2993" s="1"/>
      <c r="H2993" s="1" t="s">
        <v>67</v>
      </c>
      <c r="I2993" s="13">
        <f>I2983+I2984+I2985+I2986+I2987+I2988</f>
        <v>0</v>
      </c>
      <c r="J2993" s="1"/>
    </row>
    <row r="3001" spans="1:10" ht="15" x14ac:dyDescent="0.25">
      <c r="A3001" s="3" t="s">
        <v>89</v>
      </c>
      <c r="B3001" s="14"/>
      <c r="C3001" s="14"/>
      <c r="D3001" s="14"/>
      <c r="E3001" s="14"/>
      <c r="F3001" s="14"/>
      <c r="G3001" s="14"/>
      <c r="H3001" s="14"/>
      <c r="I3001" s="7" t="s">
        <v>90</v>
      </c>
    </row>
    <row r="3002" spans="1:10" x14ac:dyDescent="0.2">
      <c r="A3002" s="15" t="s">
        <v>1634</v>
      </c>
      <c r="I3002" s="16">
        <f>I2955</f>
        <v>0</v>
      </c>
    </row>
    <row r="3003" spans="1:10" x14ac:dyDescent="0.2">
      <c r="A3003" s="15" t="s">
        <v>1635</v>
      </c>
      <c r="I3003" s="16">
        <f>I2976</f>
        <v>0</v>
      </c>
    </row>
    <row r="3004" spans="1:10" x14ac:dyDescent="0.2">
      <c r="A3004" s="15" t="s">
        <v>1636</v>
      </c>
      <c r="I3004" s="16">
        <f>I2993</f>
        <v>0</v>
      </c>
    </row>
    <row r="3005" spans="1:10" x14ac:dyDescent="0.2">
      <c r="A3005" s="15"/>
      <c r="I3005" s="15"/>
    </row>
    <row r="3006" spans="1:10" x14ac:dyDescent="0.2">
      <c r="A3006" s="17"/>
      <c r="B3006" s="18"/>
      <c r="C3006" s="18"/>
      <c r="D3006" s="18"/>
      <c r="E3006" s="18"/>
      <c r="F3006" s="18"/>
      <c r="G3006" s="18"/>
      <c r="H3006" s="18"/>
      <c r="I3006" s="17"/>
    </row>
    <row r="3007" spans="1:10" x14ac:dyDescent="0.2">
      <c r="H3007" s="4" t="s">
        <v>95</v>
      </c>
      <c r="I3007" s="13">
        <f>SUM(I3002:I3006)</f>
        <v>0</v>
      </c>
    </row>
    <row r="3011" spans="1:10" ht="15" x14ac:dyDescent="0.25">
      <c r="A3011" s="21" t="s">
        <v>1637</v>
      </c>
      <c r="B3011" s="22"/>
      <c r="C3011" s="22"/>
      <c r="D3011" s="22"/>
      <c r="E3011" s="22"/>
      <c r="F3011" s="22"/>
      <c r="G3011" s="22"/>
      <c r="H3011" s="22"/>
      <c r="I3011" s="22"/>
      <c r="J3011" s="22"/>
    </row>
    <row r="3012" spans="1:10" ht="15" x14ac:dyDescent="0.25">
      <c r="A3012" s="21" t="s">
        <v>1638</v>
      </c>
      <c r="B3012" s="22"/>
      <c r="C3012" s="22"/>
      <c r="D3012" s="22"/>
      <c r="E3012" s="22"/>
      <c r="F3012" s="22"/>
      <c r="G3012" s="22"/>
      <c r="H3012" s="22"/>
      <c r="I3012" s="22"/>
      <c r="J3012" s="22"/>
    </row>
    <row r="3014" spans="1:10" ht="15" x14ac:dyDescent="0.25">
      <c r="A3014" s="3" t="s">
        <v>2</v>
      </c>
      <c r="B3014" s="3" t="s">
        <v>3</v>
      </c>
      <c r="C3014" s="3" t="s">
        <v>4</v>
      </c>
      <c r="D3014" s="3" t="s">
        <v>5</v>
      </c>
      <c r="E3014" s="3" t="s">
        <v>6</v>
      </c>
      <c r="F3014" s="7" t="s">
        <v>7</v>
      </c>
      <c r="G3014" s="3" t="s">
        <v>8</v>
      </c>
      <c r="H3014" s="7" t="s">
        <v>9</v>
      </c>
      <c r="I3014" s="7" t="s">
        <v>10</v>
      </c>
      <c r="J3014" s="3" t="s">
        <v>11</v>
      </c>
    </row>
    <row r="3015" spans="1:10" ht="134.25" x14ac:dyDescent="0.2">
      <c r="A3015" s="2" t="s">
        <v>1639</v>
      </c>
      <c r="B3015" s="9">
        <v>1</v>
      </c>
      <c r="C3015" s="9">
        <v>1</v>
      </c>
      <c r="D3015" s="10" t="s">
        <v>13</v>
      </c>
      <c r="E3015" s="11" t="s">
        <v>1218</v>
      </c>
      <c r="F3015" s="12">
        <v>420</v>
      </c>
      <c r="G3015" s="10" t="s">
        <v>79</v>
      </c>
      <c r="H3015" s="13"/>
      <c r="I3015" s="13"/>
      <c r="J3015" s="10"/>
    </row>
    <row r="3016" spans="1:10" ht="74.25" x14ac:dyDescent="0.2">
      <c r="A3016" s="2" t="s">
        <v>1639</v>
      </c>
      <c r="B3016" s="9">
        <v>1</v>
      </c>
      <c r="C3016" s="9">
        <v>1</v>
      </c>
      <c r="D3016" s="10" t="s">
        <v>20</v>
      </c>
      <c r="E3016" s="11" t="s">
        <v>1221</v>
      </c>
      <c r="F3016" s="12">
        <v>376.99999999999994</v>
      </c>
      <c r="G3016" s="10" t="s">
        <v>109</v>
      </c>
      <c r="H3016" s="13"/>
      <c r="I3016" s="13"/>
      <c r="J3016" s="10"/>
    </row>
    <row r="3017" spans="1:10" ht="44.25" x14ac:dyDescent="0.2">
      <c r="A3017" s="2" t="s">
        <v>1639</v>
      </c>
      <c r="B3017" s="9">
        <v>1</v>
      </c>
      <c r="C3017" s="9">
        <v>1</v>
      </c>
      <c r="D3017" s="10" t="s">
        <v>22</v>
      </c>
      <c r="E3017" s="11" t="s">
        <v>1640</v>
      </c>
      <c r="F3017" s="12">
        <v>375</v>
      </c>
      <c r="G3017" s="10" t="s">
        <v>109</v>
      </c>
      <c r="H3017" s="13"/>
      <c r="I3017" s="13"/>
      <c r="J3017" s="10"/>
    </row>
    <row r="3018" spans="1:10" ht="44.25" x14ac:dyDescent="0.2">
      <c r="A3018" s="2" t="s">
        <v>1639</v>
      </c>
      <c r="B3018" s="9">
        <v>1</v>
      </c>
      <c r="C3018" s="9">
        <v>1</v>
      </c>
      <c r="D3018" s="10" t="s">
        <v>24</v>
      </c>
      <c r="E3018" s="11" t="s">
        <v>1641</v>
      </c>
      <c r="F3018" s="12">
        <v>1</v>
      </c>
      <c r="G3018" s="10" t="s">
        <v>100</v>
      </c>
      <c r="H3018" s="13"/>
      <c r="I3018" s="13"/>
      <c r="J3018" s="10"/>
    </row>
    <row r="3019" spans="1:10" ht="74.25" x14ac:dyDescent="0.2">
      <c r="A3019" s="2" t="s">
        <v>1639</v>
      </c>
      <c r="B3019" s="9">
        <v>1</v>
      </c>
      <c r="C3019" s="9">
        <v>1</v>
      </c>
      <c r="D3019" s="10" t="s">
        <v>27</v>
      </c>
      <c r="E3019" s="11" t="s">
        <v>85</v>
      </c>
      <c r="F3019" s="12">
        <v>1</v>
      </c>
      <c r="G3019" s="10" t="s">
        <v>15</v>
      </c>
      <c r="H3019" s="13"/>
      <c r="I3019" s="6"/>
      <c r="J3019" s="10"/>
    </row>
    <row r="3020" spans="1:10" x14ac:dyDescent="0.2">
      <c r="A3020" s="2" t="s">
        <v>1639</v>
      </c>
      <c r="B3020" s="9">
        <v>1</v>
      </c>
      <c r="C3020" s="9">
        <v>1</v>
      </c>
      <c r="D3020" s="10" t="s">
        <v>29</v>
      </c>
      <c r="E3020" s="11" t="s">
        <v>86</v>
      </c>
      <c r="F3020" s="12">
        <v>1</v>
      </c>
      <c r="G3020" s="10" t="s">
        <v>15</v>
      </c>
      <c r="H3020" s="13"/>
      <c r="I3020" s="6"/>
      <c r="J3020" s="10"/>
    </row>
    <row r="3021" spans="1:10" ht="44.25" x14ac:dyDescent="0.2">
      <c r="A3021" s="2" t="s">
        <v>1639</v>
      </c>
      <c r="B3021" s="9">
        <v>1</v>
      </c>
      <c r="C3021" s="9">
        <v>1</v>
      </c>
      <c r="D3021" s="10" t="s">
        <v>32</v>
      </c>
      <c r="E3021" s="11" t="s">
        <v>87</v>
      </c>
      <c r="F3021" s="12">
        <v>295</v>
      </c>
      <c r="G3021" s="10" t="s">
        <v>79</v>
      </c>
      <c r="H3021" s="13"/>
      <c r="I3021" s="13"/>
      <c r="J3021" s="10"/>
    </row>
    <row r="3022" spans="1:10" ht="28.5" x14ac:dyDescent="0.2">
      <c r="A3022" s="2" t="s">
        <v>1639</v>
      </c>
      <c r="B3022" s="9">
        <v>1</v>
      </c>
      <c r="C3022" s="9">
        <v>1</v>
      </c>
      <c r="D3022" s="10" t="s">
        <v>33</v>
      </c>
      <c r="E3022" s="11" t="s">
        <v>1642</v>
      </c>
      <c r="F3022" s="12">
        <v>125</v>
      </c>
      <c r="G3022" s="10" t="s">
        <v>79</v>
      </c>
      <c r="H3022" s="13"/>
      <c r="I3022" s="13"/>
      <c r="J3022" s="10"/>
    </row>
    <row r="3023" spans="1:10" ht="74.25" x14ac:dyDescent="0.2">
      <c r="A3023" s="2" t="s">
        <v>1639</v>
      </c>
      <c r="B3023" s="9">
        <v>1</v>
      </c>
      <c r="C3023" s="9">
        <v>1</v>
      </c>
      <c r="D3023" s="10" t="s">
        <v>34</v>
      </c>
      <c r="E3023" s="11" t="s">
        <v>1225</v>
      </c>
      <c r="F3023" s="12">
        <v>852</v>
      </c>
      <c r="G3023" s="10" t="s">
        <v>109</v>
      </c>
      <c r="H3023" s="13"/>
      <c r="I3023" s="13"/>
      <c r="J3023" s="10"/>
    </row>
    <row r="3024" spans="1:10" x14ac:dyDescent="0.2">
      <c r="A3024" s="1" t="s">
        <v>1643</v>
      </c>
      <c r="B3024" s="1"/>
      <c r="C3024" s="1"/>
      <c r="D3024" s="1"/>
      <c r="E3024" s="1"/>
      <c r="F3024" s="1"/>
      <c r="G3024" s="1"/>
      <c r="H3024" s="1" t="s">
        <v>67</v>
      </c>
      <c r="I3024" s="13">
        <f>I3015+I3016+I3017+I3018+I3021+I3022+I3023</f>
        <v>0</v>
      </c>
      <c r="J3024" s="1"/>
    </row>
    <row r="3032" spans="1:10" ht="15" x14ac:dyDescent="0.25">
      <c r="A3032" s="3" t="s">
        <v>89</v>
      </c>
      <c r="B3032" s="14"/>
      <c r="C3032" s="14"/>
      <c r="D3032" s="14"/>
      <c r="E3032" s="14"/>
      <c r="F3032" s="14"/>
      <c r="G3032" s="14"/>
      <c r="H3032" s="14"/>
      <c r="I3032" s="7" t="s">
        <v>90</v>
      </c>
    </row>
    <row r="3033" spans="1:10" x14ac:dyDescent="0.2">
      <c r="A3033" s="15" t="s">
        <v>1644</v>
      </c>
      <c r="I3033" s="16">
        <f>I3024</f>
        <v>0</v>
      </c>
    </row>
    <row r="3034" spans="1:10" x14ac:dyDescent="0.2">
      <c r="A3034" s="15"/>
      <c r="I3034" s="15"/>
    </row>
    <row r="3035" spans="1:10" x14ac:dyDescent="0.2">
      <c r="A3035" s="17"/>
      <c r="B3035" s="18"/>
      <c r="C3035" s="18"/>
      <c r="D3035" s="18"/>
      <c r="E3035" s="18"/>
      <c r="F3035" s="18"/>
      <c r="G3035" s="18"/>
      <c r="H3035" s="18"/>
      <c r="I3035" s="17"/>
    </row>
    <row r="3036" spans="1:10" x14ac:dyDescent="0.2">
      <c r="H3036" s="4" t="s">
        <v>95</v>
      </c>
      <c r="I3036" s="13">
        <f>SUM(I3033:I3035)</f>
        <v>0</v>
      </c>
    </row>
    <row r="3040" spans="1:10" ht="15" x14ac:dyDescent="0.25">
      <c r="A3040" s="21" t="s">
        <v>1645</v>
      </c>
      <c r="B3040" s="22"/>
      <c r="C3040" s="22"/>
      <c r="D3040" s="22"/>
      <c r="E3040" s="22"/>
      <c r="F3040" s="22"/>
      <c r="G3040" s="22"/>
      <c r="H3040" s="22"/>
      <c r="I3040" s="22"/>
      <c r="J3040" s="22"/>
    </row>
    <row r="3041" spans="1:10" ht="15" x14ac:dyDescent="0.25">
      <c r="A3041" s="21" t="s">
        <v>1646</v>
      </c>
      <c r="B3041" s="22"/>
      <c r="C3041" s="22"/>
      <c r="D3041" s="22"/>
      <c r="E3041" s="22"/>
      <c r="F3041" s="22"/>
      <c r="G3041" s="22"/>
      <c r="H3041" s="22"/>
      <c r="I3041" s="22"/>
      <c r="J3041" s="22"/>
    </row>
    <row r="3043" spans="1:10" ht="15" x14ac:dyDescent="0.25">
      <c r="A3043" s="3" t="s">
        <v>2</v>
      </c>
      <c r="B3043" s="3" t="s">
        <v>3</v>
      </c>
      <c r="C3043" s="3" t="s">
        <v>4</v>
      </c>
      <c r="D3043" s="3" t="s">
        <v>5</v>
      </c>
      <c r="E3043" s="3" t="s">
        <v>6</v>
      </c>
      <c r="F3043" s="7" t="s">
        <v>7</v>
      </c>
      <c r="G3043" s="3" t="s">
        <v>8</v>
      </c>
      <c r="H3043" s="7" t="s">
        <v>9</v>
      </c>
      <c r="I3043" s="7" t="s">
        <v>10</v>
      </c>
      <c r="J3043" s="3" t="s">
        <v>11</v>
      </c>
    </row>
    <row r="3044" spans="1:10" ht="134.25" x14ac:dyDescent="0.2">
      <c r="A3044" s="2" t="s">
        <v>1647</v>
      </c>
      <c r="B3044" s="9">
        <v>1</v>
      </c>
      <c r="C3044" s="9">
        <v>1</v>
      </c>
      <c r="D3044" s="10" t="s">
        <v>13</v>
      </c>
      <c r="E3044" s="11" t="s">
        <v>1232</v>
      </c>
      <c r="F3044" s="12">
        <v>20</v>
      </c>
      <c r="G3044" s="10" t="s">
        <v>79</v>
      </c>
      <c r="H3044" s="13"/>
      <c r="I3044" s="13"/>
      <c r="J3044" s="10"/>
    </row>
    <row r="3045" spans="1:10" ht="44.25" x14ac:dyDescent="0.2">
      <c r="A3045" s="2" t="s">
        <v>1647</v>
      </c>
      <c r="B3045" s="9">
        <v>1</v>
      </c>
      <c r="C3045" s="9">
        <v>1</v>
      </c>
      <c r="D3045" s="10" t="s">
        <v>16</v>
      </c>
      <c r="E3045" s="11" t="s">
        <v>1219</v>
      </c>
      <c r="F3045" s="12">
        <v>1</v>
      </c>
      <c r="G3045" s="10" t="s">
        <v>15</v>
      </c>
      <c r="H3045" s="13"/>
      <c r="I3045" s="6"/>
      <c r="J3045" s="10"/>
    </row>
    <row r="3046" spans="1:10" x14ac:dyDescent="0.2">
      <c r="A3046" s="2" t="s">
        <v>1647</v>
      </c>
      <c r="B3046" s="9">
        <v>1</v>
      </c>
      <c r="C3046" s="9">
        <v>1</v>
      </c>
      <c r="D3046" s="10" t="s">
        <v>18</v>
      </c>
      <c r="E3046" s="11" t="s">
        <v>1233</v>
      </c>
      <c r="F3046" s="12">
        <v>1</v>
      </c>
      <c r="G3046" s="10" t="s">
        <v>15</v>
      </c>
      <c r="H3046" s="13"/>
      <c r="I3046" s="6"/>
      <c r="J3046" s="10"/>
    </row>
    <row r="3047" spans="1:10" ht="74.25" x14ac:dyDescent="0.2">
      <c r="A3047" s="2" t="s">
        <v>1647</v>
      </c>
      <c r="B3047" s="9">
        <v>1</v>
      </c>
      <c r="C3047" s="9">
        <v>1</v>
      </c>
      <c r="D3047" s="10" t="s">
        <v>20</v>
      </c>
      <c r="E3047" s="11" t="s">
        <v>1234</v>
      </c>
      <c r="F3047" s="12">
        <v>59</v>
      </c>
      <c r="G3047" s="10" t="s">
        <v>109</v>
      </c>
      <c r="H3047" s="13"/>
      <c r="I3047" s="13"/>
      <c r="J3047" s="10"/>
    </row>
    <row r="3048" spans="1:10" ht="74.25" x14ac:dyDescent="0.2">
      <c r="A3048" s="2" t="s">
        <v>1647</v>
      </c>
      <c r="B3048" s="9">
        <v>1</v>
      </c>
      <c r="C3048" s="9">
        <v>1</v>
      </c>
      <c r="D3048" s="10" t="s">
        <v>22</v>
      </c>
      <c r="E3048" s="11" t="s">
        <v>1235</v>
      </c>
      <c r="F3048" s="12">
        <v>59</v>
      </c>
      <c r="G3048" s="10" t="s">
        <v>109</v>
      </c>
      <c r="H3048" s="13"/>
      <c r="I3048" s="13"/>
      <c r="J3048" s="10"/>
    </row>
    <row r="3049" spans="1:10" ht="74.25" x14ac:dyDescent="0.2">
      <c r="A3049" s="2" t="s">
        <v>1647</v>
      </c>
      <c r="B3049" s="9">
        <v>1</v>
      </c>
      <c r="C3049" s="9">
        <v>1</v>
      </c>
      <c r="D3049" s="10" t="s">
        <v>24</v>
      </c>
      <c r="E3049" s="11" t="s">
        <v>85</v>
      </c>
      <c r="F3049" s="12">
        <v>1</v>
      </c>
      <c r="G3049" s="10" t="s">
        <v>15</v>
      </c>
      <c r="H3049" s="13"/>
      <c r="I3049" s="6"/>
      <c r="J3049" s="10"/>
    </row>
    <row r="3050" spans="1:10" x14ac:dyDescent="0.2">
      <c r="A3050" s="2" t="s">
        <v>1647</v>
      </c>
      <c r="B3050" s="9">
        <v>1</v>
      </c>
      <c r="C3050" s="9">
        <v>1</v>
      </c>
      <c r="D3050" s="10" t="s">
        <v>27</v>
      </c>
      <c r="E3050" s="11" t="s">
        <v>86</v>
      </c>
      <c r="F3050" s="12">
        <v>1</v>
      </c>
      <c r="G3050" s="10" t="s">
        <v>15</v>
      </c>
      <c r="H3050" s="13"/>
      <c r="I3050" s="6"/>
      <c r="J3050" s="10"/>
    </row>
    <row r="3051" spans="1:10" ht="44.25" x14ac:dyDescent="0.2">
      <c r="A3051" s="2" t="s">
        <v>1647</v>
      </c>
      <c r="B3051" s="9">
        <v>1</v>
      </c>
      <c r="C3051" s="9">
        <v>1</v>
      </c>
      <c r="D3051" s="10" t="s">
        <v>29</v>
      </c>
      <c r="E3051" s="11" t="s">
        <v>87</v>
      </c>
      <c r="F3051" s="12">
        <v>20</v>
      </c>
      <c r="G3051" s="10" t="s">
        <v>79</v>
      </c>
      <c r="H3051" s="13"/>
      <c r="I3051" s="13"/>
      <c r="J3051" s="10"/>
    </row>
    <row r="3052" spans="1:10" ht="74.25" x14ac:dyDescent="0.2">
      <c r="A3052" s="2" t="s">
        <v>1647</v>
      </c>
      <c r="B3052" s="9">
        <v>1</v>
      </c>
      <c r="C3052" s="9">
        <v>1</v>
      </c>
      <c r="D3052" s="10" t="s">
        <v>32</v>
      </c>
      <c r="E3052" s="11" t="s">
        <v>1236</v>
      </c>
      <c r="F3052" s="12">
        <v>90</v>
      </c>
      <c r="G3052" s="10" t="s">
        <v>79</v>
      </c>
      <c r="H3052" s="13"/>
      <c r="I3052" s="13"/>
      <c r="J3052" s="10"/>
    </row>
    <row r="3053" spans="1:10" x14ac:dyDescent="0.2">
      <c r="A3053" s="1" t="s">
        <v>1648</v>
      </c>
      <c r="B3053" s="1"/>
      <c r="C3053" s="1"/>
      <c r="D3053" s="1"/>
      <c r="E3053" s="1"/>
      <c r="F3053" s="1"/>
      <c r="G3053" s="1"/>
      <c r="H3053" s="1" t="s">
        <v>67</v>
      </c>
      <c r="I3053" s="13">
        <f>I3044+I3047+I3048+I3051+I3052</f>
        <v>0</v>
      </c>
      <c r="J3053" s="1"/>
    </row>
    <row r="3056" spans="1:10" ht="15" x14ac:dyDescent="0.25">
      <c r="A3056" s="21" t="s">
        <v>1649</v>
      </c>
      <c r="B3056" s="22"/>
      <c r="C3056" s="22"/>
      <c r="D3056" s="22"/>
      <c r="E3056" s="22"/>
      <c r="F3056" s="22"/>
      <c r="G3056" s="22"/>
      <c r="H3056" s="22"/>
      <c r="I3056" s="22"/>
      <c r="J3056" s="22"/>
    </row>
    <row r="3057" spans="1:10" ht="15" x14ac:dyDescent="0.25">
      <c r="A3057" s="21" t="s">
        <v>1646</v>
      </c>
      <c r="B3057" s="22"/>
      <c r="C3057" s="22"/>
      <c r="D3057" s="22"/>
      <c r="E3057" s="22"/>
      <c r="F3057" s="22"/>
      <c r="G3057" s="22"/>
      <c r="H3057" s="22"/>
      <c r="I3057" s="22"/>
      <c r="J3057" s="22"/>
    </row>
    <row r="3059" spans="1:10" ht="15" x14ac:dyDescent="0.25">
      <c r="A3059" s="3" t="s">
        <v>2</v>
      </c>
      <c r="B3059" s="3" t="s">
        <v>3</v>
      </c>
      <c r="C3059" s="3" t="s">
        <v>4</v>
      </c>
      <c r="D3059" s="3" t="s">
        <v>5</v>
      </c>
      <c r="E3059" s="3" t="s">
        <v>6</v>
      </c>
      <c r="F3059" s="7" t="s">
        <v>7</v>
      </c>
      <c r="G3059" s="3" t="s">
        <v>8</v>
      </c>
      <c r="H3059" s="7" t="s">
        <v>9</v>
      </c>
      <c r="I3059" s="7" t="s">
        <v>10</v>
      </c>
      <c r="J3059" s="3" t="s">
        <v>11</v>
      </c>
    </row>
    <row r="3060" spans="1:10" ht="74.25" x14ac:dyDescent="0.2">
      <c r="A3060" s="2" t="s">
        <v>1647</v>
      </c>
      <c r="B3060" s="9">
        <v>1</v>
      </c>
      <c r="C3060" s="9">
        <v>2</v>
      </c>
      <c r="D3060" s="10" t="s">
        <v>13</v>
      </c>
      <c r="E3060" s="11" t="s">
        <v>1239</v>
      </c>
      <c r="F3060" s="12">
        <v>62</v>
      </c>
      <c r="G3060" s="10" t="s">
        <v>79</v>
      </c>
      <c r="H3060" s="13"/>
      <c r="I3060" s="13"/>
      <c r="J3060" s="10"/>
    </row>
    <row r="3061" spans="1:10" ht="74.25" x14ac:dyDescent="0.2">
      <c r="A3061" s="2" t="s">
        <v>1647</v>
      </c>
      <c r="B3061" s="9">
        <v>1</v>
      </c>
      <c r="C3061" s="9">
        <v>2</v>
      </c>
      <c r="D3061" s="10" t="s">
        <v>16</v>
      </c>
      <c r="E3061" s="11" t="s">
        <v>1225</v>
      </c>
      <c r="F3061" s="12">
        <v>522</v>
      </c>
      <c r="G3061" s="10" t="s">
        <v>109</v>
      </c>
      <c r="H3061" s="13"/>
      <c r="I3061" s="13"/>
      <c r="J3061" s="10"/>
    </row>
    <row r="3062" spans="1:10" ht="44.25" x14ac:dyDescent="0.2">
      <c r="A3062" s="2" t="s">
        <v>1647</v>
      </c>
      <c r="B3062" s="9">
        <v>1</v>
      </c>
      <c r="C3062" s="9">
        <v>2</v>
      </c>
      <c r="D3062" s="10" t="s">
        <v>18</v>
      </c>
      <c r="E3062" s="11" t="s">
        <v>1240</v>
      </c>
      <c r="F3062" s="12">
        <v>496</v>
      </c>
      <c r="G3062" s="10" t="s">
        <v>109</v>
      </c>
      <c r="H3062" s="13"/>
      <c r="I3062" s="13"/>
      <c r="J3062" s="10"/>
    </row>
    <row r="3063" spans="1:10" ht="134.25" x14ac:dyDescent="0.2">
      <c r="A3063" s="2" t="s">
        <v>1647</v>
      </c>
      <c r="B3063" s="9">
        <v>1</v>
      </c>
      <c r="C3063" s="9">
        <v>2</v>
      </c>
      <c r="D3063" s="10" t="s">
        <v>20</v>
      </c>
      <c r="E3063" s="11" t="s">
        <v>1522</v>
      </c>
      <c r="F3063" s="12">
        <v>1</v>
      </c>
      <c r="G3063" s="10" t="s">
        <v>79</v>
      </c>
      <c r="H3063" s="13"/>
      <c r="I3063" s="13"/>
      <c r="J3063" s="10"/>
    </row>
    <row r="3064" spans="1:10" ht="44.25" x14ac:dyDescent="0.2">
      <c r="A3064" s="2" t="s">
        <v>1647</v>
      </c>
      <c r="B3064" s="9">
        <v>1</v>
      </c>
      <c r="C3064" s="9">
        <v>2</v>
      </c>
      <c r="D3064" s="10" t="s">
        <v>22</v>
      </c>
      <c r="E3064" s="11" t="s">
        <v>1523</v>
      </c>
      <c r="F3064" s="12">
        <v>1</v>
      </c>
      <c r="G3064" s="10" t="s">
        <v>79</v>
      </c>
      <c r="H3064" s="13"/>
      <c r="I3064" s="13"/>
      <c r="J3064" s="10"/>
    </row>
    <row r="3065" spans="1:10" ht="89.25" x14ac:dyDescent="0.2">
      <c r="A3065" s="2" t="s">
        <v>1647</v>
      </c>
      <c r="B3065" s="9">
        <v>1</v>
      </c>
      <c r="C3065" s="9">
        <v>2</v>
      </c>
      <c r="D3065" s="10" t="s">
        <v>24</v>
      </c>
      <c r="E3065" s="11" t="s">
        <v>1242</v>
      </c>
      <c r="F3065" s="12">
        <v>16</v>
      </c>
      <c r="G3065" s="10" t="s">
        <v>79</v>
      </c>
      <c r="H3065" s="13"/>
      <c r="I3065" s="13"/>
      <c r="J3065" s="10"/>
    </row>
    <row r="3066" spans="1:10" ht="104.25" x14ac:dyDescent="0.2">
      <c r="A3066" s="2" t="s">
        <v>1647</v>
      </c>
      <c r="B3066" s="9">
        <v>1</v>
      </c>
      <c r="C3066" s="9">
        <v>2</v>
      </c>
      <c r="D3066" s="10" t="s">
        <v>27</v>
      </c>
      <c r="E3066" s="11" t="s">
        <v>1524</v>
      </c>
      <c r="F3066" s="12">
        <v>16</v>
      </c>
      <c r="G3066" s="10" t="s">
        <v>83</v>
      </c>
      <c r="H3066" s="13"/>
      <c r="I3066" s="13"/>
      <c r="J3066" s="10"/>
    </row>
    <row r="3067" spans="1:10" x14ac:dyDescent="0.2">
      <c r="A3067" s="1" t="s">
        <v>1650</v>
      </c>
      <c r="B3067" s="1"/>
      <c r="C3067" s="1"/>
      <c r="D3067" s="1"/>
      <c r="E3067" s="1"/>
      <c r="F3067" s="1"/>
      <c r="G3067" s="1"/>
      <c r="H3067" s="1" t="s">
        <v>67</v>
      </c>
      <c r="I3067" s="13">
        <f>I3060+I3061+I3062+I3063+I3064+I3065+I3066</f>
        <v>0</v>
      </c>
      <c r="J3067" s="1"/>
    </row>
    <row r="3070" spans="1:10" ht="15" x14ac:dyDescent="0.25">
      <c r="A3070" s="21" t="s">
        <v>1651</v>
      </c>
      <c r="B3070" s="22"/>
      <c r="C3070" s="22"/>
      <c r="D3070" s="22"/>
      <c r="E3070" s="22"/>
      <c r="F3070" s="22"/>
      <c r="G3070" s="22"/>
      <c r="H3070" s="22"/>
      <c r="I3070" s="22"/>
      <c r="J3070" s="22"/>
    </row>
    <row r="3071" spans="1:10" ht="15" x14ac:dyDescent="0.25">
      <c r="A3071" s="21" t="s">
        <v>1646</v>
      </c>
      <c r="B3071" s="22"/>
      <c r="C3071" s="22"/>
      <c r="D3071" s="22"/>
      <c r="E3071" s="22"/>
      <c r="F3071" s="22"/>
      <c r="G3071" s="22"/>
      <c r="H3071" s="22"/>
      <c r="I3071" s="22"/>
      <c r="J3071" s="22"/>
    </row>
    <row r="3073" spans="1:10" ht="15" x14ac:dyDescent="0.25">
      <c r="A3073" s="3" t="s">
        <v>2</v>
      </c>
      <c r="B3073" s="3" t="s">
        <v>3</v>
      </c>
      <c r="C3073" s="3" t="s">
        <v>4</v>
      </c>
      <c r="D3073" s="3" t="s">
        <v>5</v>
      </c>
      <c r="E3073" s="3" t="s">
        <v>6</v>
      </c>
      <c r="F3073" s="7" t="s">
        <v>7</v>
      </c>
      <c r="G3073" s="3" t="s">
        <v>8</v>
      </c>
      <c r="H3073" s="7" t="s">
        <v>9</v>
      </c>
      <c r="I3073" s="7" t="s">
        <v>10</v>
      </c>
      <c r="J3073" s="3" t="s">
        <v>11</v>
      </c>
    </row>
    <row r="3074" spans="1:10" ht="74.25" x14ac:dyDescent="0.2">
      <c r="A3074" s="2" t="s">
        <v>1647</v>
      </c>
      <c r="B3074" s="9">
        <v>1</v>
      </c>
      <c r="C3074" s="9">
        <v>3</v>
      </c>
      <c r="D3074" s="10" t="s">
        <v>13</v>
      </c>
      <c r="E3074" s="11" t="s">
        <v>1652</v>
      </c>
      <c r="F3074" s="12">
        <v>57.999999999999993</v>
      </c>
      <c r="G3074" s="10" t="s">
        <v>83</v>
      </c>
      <c r="H3074" s="13"/>
      <c r="I3074" s="13"/>
      <c r="J3074" s="10"/>
    </row>
    <row r="3075" spans="1:10" ht="104.25" x14ac:dyDescent="0.2">
      <c r="A3075" s="2" t="s">
        <v>1647</v>
      </c>
      <c r="B3075" s="9">
        <v>1</v>
      </c>
      <c r="C3075" s="9">
        <v>3</v>
      </c>
      <c r="D3075" s="10" t="s">
        <v>16</v>
      </c>
      <c r="E3075" s="11" t="s">
        <v>1246</v>
      </c>
      <c r="F3075" s="12">
        <v>2.4500000000000002</v>
      </c>
      <c r="G3075" s="10" t="s">
        <v>169</v>
      </c>
      <c r="H3075" s="13"/>
      <c r="I3075" s="13"/>
      <c r="J3075" s="10"/>
    </row>
    <row r="3076" spans="1:10" ht="149.25" x14ac:dyDescent="0.2">
      <c r="A3076" s="2" t="s">
        <v>1647</v>
      </c>
      <c r="B3076" s="9">
        <v>1</v>
      </c>
      <c r="C3076" s="9">
        <v>3</v>
      </c>
      <c r="D3076" s="10" t="s">
        <v>18</v>
      </c>
      <c r="E3076" s="11" t="s">
        <v>1653</v>
      </c>
      <c r="F3076" s="12">
        <v>28.000000000000004</v>
      </c>
      <c r="G3076" s="10" t="s">
        <v>109</v>
      </c>
      <c r="H3076" s="13"/>
      <c r="I3076" s="13"/>
      <c r="J3076" s="10"/>
    </row>
    <row r="3077" spans="1:10" ht="119.25" x14ac:dyDescent="0.2">
      <c r="A3077" s="2" t="s">
        <v>1647</v>
      </c>
      <c r="B3077" s="9">
        <v>1</v>
      </c>
      <c r="C3077" s="9">
        <v>3</v>
      </c>
      <c r="D3077" s="10" t="s">
        <v>20</v>
      </c>
      <c r="E3077" s="11" t="s">
        <v>1654</v>
      </c>
      <c r="F3077" s="12">
        <v>2</v>
      </c>
      <c r="G3077" s="10" t="s">
        <v>109</v>
      </c>
      <c r="H3077" s="13"/>
      <c r="I3077" s="13"/>
      <c r="J3077" s="10"/>
    </row>
    <row r="3078" spans="1:10" ht="104.25" x14ac:dyDescent="0.2">
      <c r="A3078" s="2" t="s">
        <v>1647</v>
      </c>
      <c r="B3078" s="9">
        <v>1</v>
      </c>
      <c r="C3078" s="9">
        <v>3</v>
      </c>
      <c r="D3078" s="10" t="s">
        <v>22</v>
      </c>
      <c r="E3078" s="11" t="s">
        <v>1655</v>
      </c>
      <c r="F3078" s="12">
        <v>16</v>
      </c>
      <c r="G3078" s="10" t="s">
        <v>83</v>
      </c>
      <c r="H3078" s="13"/>
      <c r="I3078" s="13"/>
      <c r="J3078" s="10"/>
    </row>
    <row r="3079" spans="1:10" x14ac:dyDescent="0.2">
      <c r="A3079" s="1" t="s">
        <v>1656</v>
      </c>
      <c r="B3079" s="1"/>
      <c r="C3079" s="1"/>
      <c r="D3079" s="1"/>
      <c r="E3079" s="1"/>
      <c r="F3079" s="1"/>
      <c r="G3079" s="1"/>
      <c r="H3079" s="1" t="s">
        <v>67</v>
      </c>
      <c r="I3079" s="13">
        <f>I3074+I3075+I3076+I3077+I3078</f>
        <v>0</v>
      </c>
      <c r="J3079" s="1"/>
    </row>
    <row r="3082" spans="1:10" ht="15" x14ac:dyDescent="0.25">
      <c r="A3082" s="21" t="s">
        <v>1657</v>
      </c>
      <c r="B3082" s="22"/>
      <c r="C3082" s="22"/>
      <c r="D3082" s="22"/>
      <c r="E3082" s="22"/>
      <c r="F3082" s="22"/>
      <c r="G3082" s="22"/>
      <c r="H3082" s="22"/>
      <c r="I3082" s="22"/>
      <c r="J3082" s="22"/>
    </row>
    <row r="3083" spans="1:10" ht="15" x14ac:dyDescent="0.25">
      <c r="A3083" s="21" t="s">
        <v>1646</v>
      </c>
      <c r="B3083" s="22"/>
      <c r="C3083" s="22"/>
      <c r="D3083" s="22"/>
      <c r="E3083" s="22"/>
      <c r="F3083" s="22"/>
      <c r="G3083" s="22"/>
      <c r="H3083" s="22"/>
      <c r="I3083" s="22"/>
      <c r="J3083" s="22"/>
    </row>
    <row r="3085" spans="1:10" ht="15" x14ac:dyDescent="0.25">
      <c r="A3085" s="3" t="s">
        <v>2</v>
      </c>
      <c r="B3085" s="3" t="s">
        <v>3</v>
      </c>
      <c r="C3085" s="3" t="s">
        <v>4</v>
      </c>
      <c r="D3085" s="3" t="s">
        <v>5</v>
      </c>
      <c r="E3085" s="3" t="s">
        <v>6</v>
      </c>
      <c r="F3085" s="7" t="s">
        <v>7</v>
      </c>
      <c r="G3085" s="3" t="s">
        <v>8</v>
      </c>
      <c r="H3085" s="7" t="s">
        <v>9</v>
      </c>
      <c r="I3085" s="7" t="s">
        <v>10</v>
      </c>
      <c r="J3085" s="3" t="s">
        <v>11</v>
      </c>
    </row>
    <row r="3086" spans="1:10" ht="194.25" x14ac:dyDescent="0.2">
      <c r="A3086" s="2" t="s">
        <v>1647</v>
      </c>
      <c r="B3086" s="9">
        <v>1</v>
      </c>
      <c r="C3086" s="9">
        <v>4</v>
      </c>
      <c r="D3086" s="10" t="s">
        <v>13</v>
      </c>
      <c r="E3086" s="11" t="s">
        <v>1320</v>
      </c>
      <c r="F3086" s="12">
        <v>173.99999999999997</v>
      </c>
      <c r="G3086" s="10" t="s">
        <v>83</v>
      </c>
      <c r="H3086" s="13"/>
      <c r="I3086" s="13"/>
      <c r="J3086" s="10"/>
    </row>
    <row r="3087" spans="1:10" ht="104.25" x14ac:dyDescent="0.2">
      <c r="A3087" s="2" t="s">
        <v>1647</v>
      </c>
      <c r="B3087" s="9">
        <v>1</v>
      </c>
      <c r="C3087" s="9">
        <v>4</v>
      </c>
      <c r="D3087" s="10" t="s">
        <v>16</v>
      </c>
      <c r="E3087" s="11" t="s">
        <v>1250</v>
      </c>
      <c r="F3087" s="12">
        <v>17</v>
      </c>
      <c r="G3087" s="10" t="s">
        <v>79</v>
      </c>
      <c r="H3087" s="13"/>
      <c r="I3087" s="13"/>
      <c r="J3087" s="10"/>
    </row>
    <row r="3088" spans="1:10" x14ac:dyDescent="0.2">
      <c r="A3088" s="2" t="s">
        <v>1647</v>
      </c>
      <c r="B3088" s="9">
        <v>1</v>
      </c>
      <c r="C3088" s="9">
        <v>4</v>
      </c>
      <c r="D3088" s="10" t="s">
        <v>18</v>
      </c>
      <c r="E3088" s="11" t="s">
        <v>1251</v>
      </c>
      <c r="F3088" s="12">
        <v>53</v>
      </c>
      <c r="G3088" s="10" t="s">
        <v>79</v>
      </c>
      <c r="H3088" s="13"/>
      <c r="I3088" s="13"/>
      <c r="J3088" s="10"/>
    </row>
    <row r="3089" spans="1:10" ht="74.25" x14ac:dyDescent="0.2">
      <c r="A3089" s="2" t="s">
        <v>1647</v>
      </c>
      <c r="B3089" s="9">
        <v>1</v>
      </c>
      <c r="C3089" s="9">
        <v>4</v>
      </c>
      <c r="D3089" s="10" t="s">
        <v>20</v>
      </c>
      <c r="E3089" s="11" t="s">
        <v>1254</v>
      </c>
      <c r="F3089" s="12">
        <v>340.00000000000006</v>
      </c>
      <c r="G3089" s="10" t="s">
        <v>109</v>
      </c>
      <c r="H3089" s="13"/>
      <c r="I3089" s="13"/>
      <c r="J3089" s="10"/>
    </row>
    <row r="3090" spans="1:10" x14ac:dyDescent="0.2">
      <c r="A3090" s="2" t="s">
        <v>1647</v>
      </c>
      <c r="B3090" s="9">
        <v>1</v>
      </c>
      <c r="C3090" s="9">
        <v>4</v>
      </c>
      <c r="D3090" s="10" t="s">
        <v>22</v>
      </c>
      <c r="E3090" s="11" t="s">
        <v>1255</v>
      </c>
      <c r="F3090" s="12">
        <v>356</v>
      </c>
      <c r="G3090" s="10" t="s">
        <v>109</v>
      </c>
      <c r="H3090" s="13"/>
      <c r="I3090" s="13"/>
      <c r="J3090" s="10"/>
    </row>
    <row r="3091" spans="1:10" x14ac:dyDescent="0.2">
      <c r="A3091" s="2" t="s">
        <v>1647</v>
      </c>
      <c r="B3091" s="9">
        <v>1</v>
      </c>
      <c r="C3091" s="9">
        <v>4</v>
      </c>
      <c r="D3091" s="10" t="s">
        <v>24</v>
      </c>
      <c r="E3091" s="11" t="s">
        <v>1256</v>
      </c>
      <c r="F3091" s="12">
        <v>356</v>
      </c>
      <c r="G3091" s="10" t="s">
        <v>109</v>
      </c>
      <c r="H3091" s="13"/>
      <c r="I3091" s="13"/>
      <c r="J3091" s="10"/>
    </row>
    <row r="3092" spans="1:10" x14ac:dyDescent="0.2">
      <c r="A3092" s="1" t="s">
        <v>1658</v>
      </c>
      <c r="B3092" s="1"/>
      <c r="C3092" s="1"/>
      <c r="D3092" s="1"/>
      <c r="E3092" s="1"/>
      <c r="F3092" s="1"/>
      <c r="G3092" s="1"/>
      <c r="H3092" s="1" t="s">
        <v>67</v>
      </c>
      <c r="I3092" s="13">
        <f>I3086+I3087+I3088+I3089+I3090+I3091</f>
        <v>0</v>
      </c>
      <c r="J3092" s="1"/>
    </row>
    <row r="3095" spans="1:10" ht="15" x14ac:dyDescent="0.25">
      <c r="A3095" s="21" t="s">
        <v>1659</v>
      </c>
      <c r="B3095" s="22"/>
      <c r="C3095" s="22"/>
      <c r="D3095" s="22"/>
      <c r="E3095" s="22"/>
      <c r="F3095" s="22"/>
      <c r="G3095" s="22"/>
      <c r="H3095" s="22"/>
      <c r="I3095" s="22"/>
      <c r="J3095" s="22"/>
    </row>
    <row r="3096" spans="1:10" ht="15" x14ac:dyDescent="0.25">
      <c r="A3096" s="21" t="s">
        <v>1646</v>
      </c>
      <c r="B3096" s="22"/>
      <c r="C3096" s="22"/>
      <c r="D3096" s="22"/>
      <c r="E3096" s="22"/>
      <c r="F3096" s="22"/>
      <c r="G3096" s="22"/>
      <c r="H3096" s="22"/>
      <c r="I3096" s="22"/>
      <c r="J3096" s="22"/>
    </row>
    <row r="3098" spans="1:10" ht="15" x14ac:dyDescent="0.25">
      <c r="A3098" s="3" t="s">
        <v>2</v>
      </c>
      <c r="B3098" s="3" t="s">
        <v>3</v>
      </c>
      <c r="C3098" s="3" t="s">
        <v>4</v>
      </c>
      <c r="D3098" s="3" t="s">
        <v>5</v>
      </c>
      <c r="E3098" s="3" t="s">
        <v>6</v>
      </c>
      <c r="F3098" s="7" t="s">
        <v>7</v>
      </c>
      <c r="G3098" s="3" t="s">
        <v>8</v>
      </c>
      <c r="H3098" s="7" t="s">
        <v>9</v>
      </c>
      <c r="I3098" s="7" t="s">
        <v>10</v>
      </c>
      <c r="J3098" s="3" t="s">
        <v>11</v>
      </c>
    </row>
    <row r="3099" spans="1:10" ht="149.25" x14ac:dyDescent="0.2">
      <c r="A3099" s="2" t="s">
        <v>1647</v>
      </c>
      <c r="B3099" s="9">
        <v>1</v>
      </c>
      <c r="C3099" s="9">
        <v>5</v>
      </c>
      <c r="D3099" s="10" t="s">
        <v>13</v>
      </c>
      <c r="E3099" s="11" t="s">
        <v>1325</v>
      </c>
      <c r="F3099" s="12">
        <v>16</v>
      </c>
      <c r="G3099" s="10" t="s">
        <v>109</v>
      </c>
      <c r="H3099" s="13"/>
      <c r="I3099" s="13"/>
      <c r="J3099" s="10"/>
    </row>
    <row r="3100" spans="1:10" ht="119.25" x14ac:dyDescent="0.2">
      <c r="A3100" s="2" t="s">
        <v>1647</v>
      </c>
      <c r="B3100" s="9">
        <v>1</v>
      </c>
      <c r="C3100" s="9">
        <v>5</v>
      </c>
      <c r="D3100" s="10" t="s">
        <v>16</v>
      </c>
      <c r="E3100" s="11" t="s">
        <v>1382</v>
      </c>
      <c r="F3100" s="12">
        <v>340.00000000000006</v>
      </c>
      <c r="G3100" s="10" t="s">
        <v>109</v>
      </c>
      <c r="H3100" s="13"/>
      <c r="I3100" s="13"/>
      <c r="J3100" s="10"/>
    </row>
    <row r="3101" spans="1:10" ht="104.25" x14ac:dyDescent="0.2">
      <c r="A3101" s="2" t="s">
        <v>1647</v>
      </c>
      <c r="B3101" s="9">
        <v>1</v>
      </c>
      <c r="C3101" s="9">
        <v>5</v>
      </c>
      <c r="D3101" s="10" t="s">
        <v>18</v>
      </c>
      <c r="E3101" s="11" t="s">
        <v>1268</v>
      </c>
      <c r="F3101" s="12">
        <v>360.00000000000006</v>
      </c>
      <c r="G3101" s="10" t="s">
        <v>109</v>
      </c>
      <c r="H3101" s="13"/>
      <c r="I3101" s="6"/>
      <c r="J3101" s="10"/>
    </row>
    <row r="3102" spans="1:10" ht="74.25" x14ac:dyDescent="0.2">
      <c r="A3102" s="2" t="s">
        <v>1647</v>
      </c>
      <c r="B3102" s="9">
        <v>1</v>
      </c>
      <c r="C3102" s="9">
        <v>5</v>
      </c>
      <c r="D3102" s="10" t="s">
        <v>20</v>
      </c>
      <c r="E3102" s="11" t="s">
        <v>1271</v>
      </c>
      <c r="F3102" s="12">
        <v>360.00000000000006</v>
      </c>
      <c r="G3102" s="10" t="s">
        <v>109</v>
      </c>
      <c r="H3102" s="13"/>
      <c r="I3102" s="6"/>
      <c r="J3102" s="10"/>
    </row>
    <row r="3103" spans="1:10" ht="74.25" x14ac:dyDescent="0.2">
      <c r="A3103" s="2" t="s">
        <v>1647</v>
      </c>
      <c r="B3103" s="9">
        <v>1</v>
      </c>
      <c r="C3103" s="9">
        <v>5</v>
      </c>
      <c r="D3103" s="10" t="s">
        <v>22</v>
      </c>
      <c r="E3103" s="11" t="s">
        <v>1272</v>
      </c>
      <c r="F3103" s="12">
        <v>360.00000000000006</v>
      </c>
      <c r="G3103" s="10" t="s">
        <v>109</v>
      </c>
      <c r="H3103" s="13"/>
      <c r="I3103" s="6"/>
      <c r="J3103" s="10"/>
    </row>
    <row r="3104" spans="1:10" x14ac:dyDescent="0.2">
      <c r="A3104" s="1" t="s">
        <v>1660</v>
      </c>
      <c r="B3104" s="1"/>
      <c r="C3104" s="1"/>
      <c r="D3104" s="1"/>
      <c r="E3104" s="1"/>
      <c r="F3104" s="1"/>
      <c r="G3104" s="1"/>
      <c r="H3104" s="1" t="s">
        <v>67</v>
      </c>
      <c r="I3104" s="13">
        <f>I3099+I3100</f>
        <v>0</v>
      </c>
      <c r="J3104" s="1"/>
    </row>
    <row r="3107" spans="1:10" ht="15" x14ac:dyDescent="0.25">
      <c r="A3107" s="21" t="s">
        <v>1661</v>
      </c>
      <c r="B3107" s="22"/>
      <c r="C3107" s="22"/>
      <c r="D3107" s="22"/>
      <c r="E3107" s="22"/>
      <c r="F3107" s="22"/>
      <c r="G3107" s="22"/>
      <c r="H3107" s="22"/>
      <c r="I3107" s="22"/>
      <c r="J3107" s="22"/>
    </row>
    <row r="3108" spans="1:10" ht="15" x14ac:dyDescent="0.25">
      <c r="A3108" s="21" t="s">
        <v>1646</v>
      </c>
      <c r="B3108" s="22"/>
      <c r="C3108" s="22"/>
      <c r="D3108" s="22"/>
      <c r="E3108" s="22"/>
      <c r="F3108" s="22"/>
      <c r="G3108" s="22"/>
      <c r="H3108" s="22"/>
      <c r="I3108" s="22"/>
      <c r="J3108" s="22"/>
    </row>
    <row r="3110" spans="1:10" ht="15" x14ac:dyDescent="0.25">
      <c r="A3110" s="3" t="s">
        <v>2</v>
      </c>
      <c r="B3110" s="3" t="s">
        <v>3</v>
      </c>
      <c r="C3110" s="3" t="s">
        <v>4</v>
      </c>
      <c r="D3110" s="3" t="s">
        <v>5</v>
      </c>
      <c r="E3110" s="3" t="s">
        <v>6</v>
      </c>
      <c r="F3110" s="7" t="s">
        <v>7</v>
      </c>
      <c r="G3110" s="3" t="s">
        <v>8</v>
      </c>
      <c r="H3110" s="7" t="s">
        <v>9</v>
      </c>
      <c r="I3110" s="7" t="s">
        <v>10</v>
      </c>
      <c r="J3110" s="3" t="s">
        <v>11</v>
      </c>
    </row>
    <row r="3111" spans="1:10" ht="74.25" x14ac:dyDescent="0.2">
      <c r="A3111" s="2" t="s">
        <v>1647</v>
      </c>
      <c r="B3111" s="9">
        <v>1</v>
      </c>
      <c r="C3111" s="9">
        <v>6</v>
      </c>
      <c r="D3111" s="10" t="s">
        <v>13</v>
      </c>
      <c r="E3111" s="11" t="s">
        <v>1273</v>
      </c>
      <c r="F3111" s="12">
        <v>1</v>
      </c>
      <c r="G3111" s="10" t="s">
        <v>15</v>
      </c>
      <c r="H3111" s="13"/>
      <c r="I3111" s="6"/>
      <c r="J3111" s="10"/>
    </row>
    <row r="3112" spans="1:10" ht="104.25" x14ac:dyDescent="0.2">
      <c r="A3112" s="2" t="s">
        <v>1647</v>
      </c>
      <c r="B3112" s="9">
        <v>1</v>
      </c>
      <c r="C3112" s="9">
        <v>6</v>
      </c>
      <c r="D3112" s="10" t="s">
        <v>16</v>
      </c>
      <c r="E3112" s="11" t="s">
        <v>1274</v>
      </c>
      <c r="F3112" s="12">
        <v>136</v>
      </c>
      <c r="G3112" s="10" t="s">
        <v>109</v>
      </c>
      <c r="H3112" s="13"/>
      <c r="I3112" s="6"/>
      <c r="J3112" s="10"/>
    </row>
    <row r="3113" spans="1:10" ht="44.25" x14ac:dyDescent="0.2">
      <c r="A3113" s="2" t="s">
        <v>1647</v>
      </c>
      <c r="B3113" s="9">
        <v>1</v>
      </c>
      <c r="C3113" s="9">
        <v>6</v>
      </c>
      <c r="D3113" s="10" t="s">
        <v>18</v>
      </c>
      <c r="E3113" s="11" t="s">
        <v>1275</v>
      </c>
      <c r="F3113" s="12">
        <v>1</v>
      </c>
      <c r="G3113" s="10" t="s">
        <v>109</v>
      </c>
      <c r="H3113" s="13"/>
      <c r="I3113" s="6"/>
      <c r="J3113" s="10"/>
    </row>
    <row r="3114" spans="1:10" ht="74.25" x14ac:dyDescent="0.2">
      <c r="A3114" s="2" t="s">
        <v>1647</v>
      </c>
      <c r="B3114" s="9">
        <v>1</v>
      </c>
      <c r="C3114" s="9">
        <v>6</v>
      </c>
      <c r="D3114" s="10" t="s">
        <v>20</v>
      </c>
      <c r="E3114" s="11" t="s">
        <v>1271</v>
      </c>
      <c r="F3114" s="12">
        <v>136</v>
      </c>
      <c r="G3114" s="10" t="s">
        <v>109</v>
      </c>
      <c r="H3114" s="13"/>
      <c r="I3114" s="6"/>
      <c r="J3114" s="10"/>
    </row>
    <row r="3115" spans="1:10" ht="74.25" x14ac:dyDescent="0.2">
      <c r="A3115" s="2" t="s">
        <v>1647</v>
      </c>
      <c r="B3115" s="9">
        <v>1</v>
      </c>
      <c r="C3115" s="9">
        <v>6</v>
      </c>
      <c r="D3115" s="10" t="s">
        <v>22</v>
      </c>
      <c r="E3115" s="11" t="s">
        <v>1276</v>
      </c>
      <c r="F3115" s="12">
        <v>6</v>
      </c>
      <c r="G3115" s="10" t="s">
        <v>109</v>
      </c>
      <c r="H3115" s="13"/>
      <c r="I3115" s="6"/>
      <c r="J3115" s="10"/>
    </row>
    <row r="3116" spans="1:10" ht="44.25" x14ac:dyDescent="0.2">
      <c r="A3116" s="2" t="s">
        <v>1647</v>
      </c>
      <c r="B3116" s="9">
        <v>1</v>
      </c>
      <c r="C3116" s="9">
        <v>6</v>
      </c>
      <c r="D3116" s="10" t="s">
        <v>24</v>
      </c>
      <c r="E3116" s="11" t="s">
        <v>1277</v>
      </c>
      <c r="F3116" s="12">
        <v>125</v>
      </c>
      <c r="G3116" s="10" t="s">
        <v>109</v>
      </c>
      <c r="H3116" s="13"/>
      <c r="I3116" s="6"/>
      <c r="J3116" s="10"/>
    </row>
    <row r="3117" spans="1:10" ht="44.25" x14ac:dyDescent="0.2">
      <c r="A3117" s="2" t="s">
        <v>1647</v>
      </c>
      <c r="B3117" s="9">
        <v>1</v>
      </c>
      <c r="C3117" s="9">
        <v>6</v>
      </c>
      <c r="D3117" s="10" t="s">
        <v>27</v>
      </c>
      <c r="E3117" s="11" t="s">
        <v>1328</v>
      </c>
      <c r="F3117" s="12">
        <v>4</v>
      </c>
      <c r="G3117" s="10" t="s">
        <v>109</v>
      </c>
      <c r="H3117" s="13"/>
      <c r="I3117" s="6"/>
      <c r="J3117" s="10"/>
    </row>
    <row r="3118" spans="1:10" ht="74.25" x14ac:dyDescent="0.2">
      <c r="A3118" s="2" t="s">
        <v>1647</v>
      </c>
      <c r="B3118" s="9">
        <v>1</v>
      </c>
      <c r="C3118" s="9">
        <v>6</v>
      </c>
      <c r="D3118" s="10" t="s">
        <v>29</v>
      </c>
      <c r="E3118" s="11" t="s">
        <v>1280</v>
      </c>
      <c r="F3118" s="12">
        <v>1</v>
      </c>
      <c r="G3118" s="10" t="s">
        <v>31</v>
      </c>
      <c r="H3118" s="13"/>
      <c r="I3118" s="6"/>
      <c r="J3118" s="10"/>
    </row>
    <row r="3119" spans="1:10" x14ac:dyDescent="0.2">
      <c r="A3119" s="1" t="s">
        <v>1662</v>
      </c>
      <c r="B3119" s="1"/>
      <c r="C3119" s="1"/>
      <c r="D3119" s="1"/>
      <c r="E3119" s="1"/>
      <c r="F3119" s="1"/>
      <c r="G3119" s="1"/>
      <c r="H3119" s="1" t="s">
        <v>67</v>
      </c>
      <c r="I3119" s="13"/>
      <c r="J3119" s="1"/>
    </row>
    <row r="3122" spans="1:10" ht="15" x14ac:dyDescent="0.25">
      <c r="A3122" s="21" t="s">
        <v>1663</v>
      </c>
      <c r="B3122" s="22"/>
      <c r="C3122" s="22"/>
      <c r="D3122" s="22"/>
      <c r="E3122" s="22"/>
      <c r="F3122" s="22"/>
      <c r="G3122" s="22"/>
      <c r="H3122" s="22"/>
      <c r="I3122" s="22"/>
      <c r="J3122" s="22"/>
    </row>
    <row r="3123" spans="1:10" ht="15" x14ac:dyDescent="0.25">
      <c r="A3123" s="21" t="s">
        <v>1646</v>
      </c>
      <c r="B3123" s="22"/>
      <c r="C3123" s="22"/>
      <c r="D3123" s="22"/>
      <c r="E3123" s="22"/>
      <c r="F3123" s="22"/>
      <c r="G3123" s="22"/>
      <c r="H3123" s="22"/>
      <c r="I3123" s="22"/>
      <c r="J3123" s="22"/>
    </row>
    <row r="3125" spans="1:10" ht="15" x14ac:dyDescent="0.25">
      <c r="A3125" s="3" t="s">
        <v>2</v>
      </c>
      <c r="B3125" s="3" t="s">
        <v>3</v>
      </c>
      <c r="C3125" s="3" t="s">
        <v>4</v>
      </c>
      <c r="D3125" s="3" t="s">
        <v>5</v>
      </c>
      <c r="E3125" s="3" t="s">
        <v>6</v>
      </c>
      <c r="F3125" s="7" t="s">
        <v>7</v>
      </c>
      <c r="G3125" s="3" t="s">
        <v>8</v>
      </c>
      <c r="H3125" s="7" t="s">
        <v>9</v>
      </c>
      <c r="I3125" s="7" t="s">
        <v>10</v>
      </c>
      <c r="J3125" s="3" t="s">
        <v>11</v>
      </c>
    </row>
    <row r="3126" spans="1:10" ht="74.25" x14ac:dyDescent="0.2">
      <c r="A3126" s="2" t="s">
        <v>1647</v>
      </c>
      <c r="B3126" s="9">
        <v>1</v>
      </c>
      <c r="C3126" s="9">
        <v>7</v>
      </c>
      <c r="D3126" s="10" t="s">
        <v>13</v>
      </c>
      <c r="E3126" s="11" t="s">
        <v>1281</v>
      </c>
      <c r="F3126" s="12">
        <v>135</v>
      </c>
      <c r="G3126" s="10" t="s">
        <v>109</v>
      </c>
      <c r="H3126" s="13"/>
      <c r="I3126" s="6"/>
      <c r="J3126" s="10"/>
    </row>
    <row r="3127" spans="1:10" ht="44.25" x14ac:dyDescent="0.2">
      <c r="A3127" s="2" t="s">
        <v>1647</v>
      </c>
      <c r="B3127" s="9">
        <v>1</v>
      </c>
      <c r="C3127" s="9">
        <v>7</v>
      </c>
      <c r="D3127" s="10" t="s">
        <v>16</v>
      </c>
      <c r="E3127" s="11" t="s">
        <v>1282</v>
      </c>
      <c r="F3127" s="12">
        <v>1</v>
      </c>
      <c r="G3127" s="10" t="s">
        <v>31</v>
      </c>
      <c r="H3127" s="13"/>
      <c r="I3127" s="6"/>
      <c r="J3127" s="10"/>
    </row>
    <row r="3128" spans="1:10" ht="74.25" x14ac:dyDescent="0.2">
      <c r="A3128" s="2" t="s">
        <v>1647</v>
      </c>
      <c r="B3128" s="9">
        <v>1</v>
      </c>
      <c r="C3128" s="9">
        <v>7</v>
      </c>
      <c r="D3128" s="10" t="s">
        <v>18</v>
      </c>
      <c r="E3128" s="11" t="s">
        <v>1283</v>
      </c>
      <c r="F3128" s="12">
        <v>1</v>
      </c>
      <c r="G3128" s="10" t="s">
        <v>31</v>
      </c>
      <c r="H3128" s="13"/>
      <c r="I3128" s="6"/>
      <c r="J3128" s="10"/>
    </row>
    <row r="3129" spans="1:10" ht="74.25" x14ac:dyDescent="0.2">
      <c r="A3129" s="2" t="s">
        <v>1647</v>
      </c>
      <c r="B3129" s="9">
        <v>1</v>
      </c>
      <c r="C3129" s="9">
        <v>7</v>
      </c>
      <c r="D3129" s="10" t="s">
        <v>20</v>
      </c>
      <c r="E3129" s="11" t="s">
        <v>1284</v>
      </c>
      <c r="F3129" s="12">
        <v>1</v>
      </c>
      <c r="G3129" s="10" t="s">
        <v>15</v>
      </c>
      <c r="H3129" s="13"/>
      <c r="I3129" s="6"/>
      <c r="J3129" s="10"/>
    </row>
    <row r="3130" spans="1:10" ht="119.25" x14ac:dyDescent="0.2">
      <c r="A3130" s="2" t="s">
        <v>1647</v>
      </c>
      <c r="B3130" s="9">
        <v>1</v>
      </c>
      <c r="C3130" s="9">
        <v>7</v>
      </c>
      <c r="D3130" s="10" t="s">
        <v>22</v>
      </c>
      <c r="E3130" s="11" t="s">
        <v>1664</v>
      </c>
      <c r="F3130" s="12">
        <v>1</v>
      </c>
      <c r="G3130" s="10" t="s">
        <v>31</v>
      </c>
      <c r="H3130" s="13"/>
      <c r="I3130" s="13"/>
      <c r="J3130" s="10"/>
    </row>
    <row r="3131" spans="1:10" ht="44.25" x14ac:dyDescent="0.2">
      <c r="A3131" s="2" t="s">
        <v>1647</v>
      </c>
      <c r="B3131" s="9">
        <v>1</v>
      </c>
      <c r="C3131" s="9">
        <v>7</v>
      </c>
      <c r="D3131" s="10" t="s">
        <v>22</v>
      </c>
      <c r="E3131" s="11" t="s">
        <v>1665</v>
      </c>
      <c r="F3131" s="12">
        <v>1</v>
      </c>
      <c r="G3131" s="10" t="s">
        <v>31</v>
      </c>
      <c r="H3131" s="13"/>
      <c r="I3131" s="13"/>
      <c r="J3131" s="10"/>
    </row>
    <row r="3132" spans="1:10" ht="74.25" x14ac:dyDescent="0.2">
      <c r="A3132" s="2" t="s">
        <v>1647</v>
      </c>
      <c r="B3132" s="9">
        <v>1</v>
      </c>
      <c r="C3132" s="9">
        <v>7</v>
      </c>
      <c r="D3132" s="10" t="s">
        <v>24</v>
      </c>
      <c r="E3132" s="11" t="s">
        <v>1476</v>
      </c>
      <c r="F3132" s="12">
        <v>9</v>
      </c>
      <c r="G3132" s="10" t="s">
        <v>31</v>
      </c>
      <c r="H3132" s="13"/>
      <c r="I3132" s="13"/>
      <c r="J3132" s="10"/>
    </row>
    <row r="3133" spans="1:10" ht="59.25" x14ac:dyDescent="0.2">
      <c r="A3133" s="2" t="s">
        <v>1647</v>
      </c>
      <c r="B3133" s="9">
        <v>1</v>
      </c>
      <c r="C3133" s="9">
        <v>7</v>
      </c>
      <c r="D3133" s="10" t="s">
        <v>27</v>
      </c>
      <c r="E3133" s="11" t="s">
        <v>1666</v>
      </c>
      <c r="F3133" s="12">
        <v>3</v>
      </c>
      <c r="G3133" s="10" t="s">
        <v>31</v>
      </c>
      <c r="H3133" s="13"/>
      <c r="I3133" s="13"/>
      <c r="J3133" s="10"/>
    </row>
    <row r="3134" spans="1:10" x14ac:dyDescent="0.2">
      <c r="A3134" s="2" t="s">
        <v>1647</v>
      </c>
      <c r="B3134" s="9">
        <v>1</v>
      </c>
      <c r="C3134" s="9">
        <v>7</v>
      </c>
      <c r="D3134" s="10" t="s">
        <v>29</v>
      </c>
      <c r="E3134" s="11" t="s">
        <v>1478</v>
      </c>
      <c r="F3134" s="12">
        <v>3</v>
      </c>
      <c r="G3134" s="10" t="s">
        <v>31</v>
      </c>
      <c r="H3134" s="13"/>
      <c r="I3134" s="13"/>
      <c r="J3134" s="10"/>
    </row>
    <row r="3135" spans="1:10" x14ac:dyDescent="0.2">
      <c r="A3135" s="1" t="s">
        <v>1667</v>
      </c>
      <c r="B3135" s="1"/>
      <c r="C3135" s="1"/>
      <c r="D3135" s="1"/>
      <c r="E3135" s="1"/>
      <c r="F3135" s="1"/>
      <c r="G3135" s="1"/>
      <c r="H3135" s="1" t="s">
        <v>67</v>
      </c>
      <c r="I3135" s="13">
        <f>I3130+I3131+I3132+I3133+I3134</f>
        <v>0</v>
      </c>
      <c r="J3135" s="1"/>
    </row>
    <row r="3138" spans="1:10" ht="15" x14ac:dyDescent="0.25">
      <c r="A3138" s="21" t="s">
        <v>1668</v>
      </c>
      <c r="B3138" s="22"/>
      <c r="C3138" s="22"/>
      <c r="D3138" s="22"/>
      <c r="E3138" s="22"/>
      <c r="F3138" s="22"/>
      <c r="G3138" s="22"/>
      <c r="H3138" s="22"/>
      <c r="I3138" s="22"/>
      <c r="J3138" s="22"/>
    </row>
    <row r="3139" spans="1:10" ht="15" x14ac:dyDescent="0.25">
      <c r="A3139" s="21" t="s">
        <v>1646</v>
      </c>
      <c r="B3139" s="22"/>
      <c r="C3139" s="22"/>
      <c r="D3139" s="22"/>
      <c r="E3139" s="22"/>
      <c r="F3139" s="22"/>
      <c r="G3139" s="22"/>
      <c r="H3139" s="22"/>
      <c r="I3139" s="22"/>
      <c r="J3139" s="22"/>
    </row>
    <row r="3141" spans="1:10" ht="15" x14ac:dyDescent="0.25">
      <c r="A3141" s="3" t="s">
        <v>2</v>
      </c>
      <c r="B3141" s="3" t="s">
        <v>3</v>
      </c>
      <c r="C3141" s="3" t="s">
        <v>4</v>
      </c>
      <c r="D3141" s="3" t="s">
        <v>5</v>
      </c>
      <c r="E3141" s="3" t="s">
        <v>6</v>
      </c>
      <c r="F3141" s="7" t="s">
        <v>7</v>
      </c>
      <c r="G3141" s="3" t="s">
        <v>8</v>
      </c>
      <c r="H3141" s="7" t="s">
        <v>9</v>
      </c>
      <c r="I3141" s="7" t="s">
        <v>10</v>
      </c>
      <c r="J3141" s="3" t="s">
        <v>11</v>
      </c>
    </row>
    <row r="3142" spans="1:10" ht="104.25" x14ac:dyDescent="0.2">
      <c r="A3142" s="2" t="s">
        <v>1647</v>
      </c>
      <c r="B3142" s="9">
        <v>1</v>
      </c>
      <c r="C3142" s="9">
        <v>8</v>
      </c>
      <c r="D3142" s="10" t="s">
        <v>13</v>
      </c>
      <c r="E3142" s="11" t="s">
        <v>1669</v>
      </c>
      <c r="F3142" s="12">
        <v>18</v>
      </c>
      <c r="G3142" s="10" t="s">
        <v>31</v>
      </c>
      <c r="H3142" s="13"/>
      <c r="I3142" s="13"/>
      <c r="J3142" s="10"/>
    </row>
    <row r="3143" spans="1:10" x14ac:dyDescent="0.2">
      <c r="A3143" s="2" t="s">
        <v>1647</v>
      </c>
      <c r="B3143" s="9">
        <v>1</v>
      </c>
      <c r="C3143" s="9">
        <v>8</v>
      </c>
      <c r="D3143" s="10" t="s">
        <v>16</v>
      </c>
      <c r="E3143" s="11" t="s">
        <v>1603</v>
      </c>
      <c r="F3143" s="12">
        <v>2</v>
      </c>
      <c r="G3143" s="10" t="s">
        <v>31</v>
      </c>
      <c r="H3143" s="13"/>
      <c r="I3143" s="13"/>
      <c r="J3143" s="10"/>
    </row>
    <row r="3144" spans="1:10" x14ac:dyDescent="0.2">
      <c r="A3144" s="2" t="s">
        <v>1647</v>
      </c>
      <c r="B3144" s="9">
        <v>1</v>
      </c>
      <c r="C3144" s="9">
        <v>8</v>
      </c>
      <c r="D3144" s="10" t="s">
        <v>18</v>
      </c>
      <c r="E3144" s="11" t="s">
        <v>1670</v>
      </c>
      <c r="F3144" s="12">
        <v>3</v>
      </c>
      <c r="G3144" s="10" t="s">
        <v>31</v>
      </c>
      <c r="H3144" s="13"/>
      <c r="I3144" s="13"/>
      <c r="J3144" s="10"/>
    </row>
    <row r="3145" spans="1:10" x14ac:dyDescent="0.2">
      <c r="A3145" s="1" t="s">
        <v>1671</v>
      </c>
      <c r="B3145" s="1"/>
      <c r="C3145" s="1"/>
      <c r="D3145" s="1"/>
      <c r="E3145" s="1"/>
      <c r="F3145" s="1"/>
      <c r="G3145" s="1"/>
      <c r="H3145" s="1" t="s">
        <v>67</v>
      </c>
      <c r="I3145" s="13">
        <f>I3142+I3143+I3144</f>
        <v>0</v>
      </c>
      <c r="J3145" s="1"/>
    </row>
    <row r="3153" spans="1:10" ht="15" x14ac:dyDescent="0.25">
      <c r="A3153" s="3" t="s">
        <v>89</v>
      </c>
      <c r="B3153" s="14"/>
      <c r="C3153" s="14"/>
      <c r="D3153" s="14"/>
      <c r="E3153" s="14"/>
      <c r="F3153" s="14"/>
      <c r="G3153" s="14"/>
      <c r="H3153" s="14"/>
      <c r="I3153" s="7" t="s">
        <v>90</v>
      </c>
    </row>
    <row r="3154" spans="1:10" x14ac:dyDescent="0.2">
      <c r="A3154" s="15" t="s">
        <v>1672</v>
      </c>
      <c r="I3154" s="16">
        <f>I3053</f>
        <v>0</v>
      </c>
    </row>
    <row r="3155" spans="1:10" x14ac:dyDescent="0.2">
      <c r="A3155" s="15" t="s">
        <v>1673</v>
      </c>
      <c r="I3155" s="16">
        <f>I3067</f>
        <v>0</v>
      </c>
    </row>
    <row r="3156" spans="1:10" x14ac:dyDescent="0.2">
      <c r="A3156" s="15" t="s">
        <v>1674</v>
      </c>
      <c r="I3156" s="16">
        <f>I3079</f>
        <v>0</v>
      </c>
    </row>
    <row r="3157" spans="1:10" x14ac:dyDescent="0.2">
      <c r="A3157" s="15" t="s">
        <v>1675</v>
      </c>
      <c r="I3157" s="16">
        <f>I3092</f>
        <v>0</v>
      </c>
    </row>
    <row r="3158" spans="1:10" x14ac:dyDescent="0.2">
      <c r="A3158" s="15" t="s">
        <v>1676</v>
      </c>
      <c r="I3158" s="16">
        <f>I3104</f>
        <v>0</v>
      </c>
    </row>
    <row r="3159" spans="1:10" x14ac:dyDescent="0.2">
      <c r="A3159" s="15" t="s">
        <v>1677</v>
      </c>
      <c r="I3159" s="16">
        <f>I3119</f>
        <v>0</v>
      </c>
    </row>
    <row r="3160" spans="1:10" x14ac:dyDescent="0.2">
      <c r="A3160" s="15" t="s">
        <v>1678</v>
      </c>
      <c r="I3160" s="16">
        <f>I3135</f>
        <v>0</v>
      </c>
    </row>
    <row r="3161" spans="1:10" x14ac:dyDescent="0.2">
      <c r="A3161" s="15" t="s">
        <v>1679</v>
      </c>
      <c r="I3161" s="16">
        <f>I3145</f>
        <v>0</v>
      </c>
    </row>
    <row r="3162" spans="1:10" x14ac:dyDescent="0.2">
      <c r="A3162" s="15"/>
      <c r="I3162" s="15"/>
    </row>
    <row r="3163" spans="1:10" x14ac:dyDescent="0.2">
      <c r="A3163" s="17"/>
      <c r="B3163" s="18"/>
      <c r="C3163" s="18"/>
      <c r="D3163" s="18"/>
      <c r="E3163" s="18"/>
      <c r="F3163" s="18"/>
      <c r="G3163" s="18"/>
      <c r="H3163" s="18"/>
      <c r="I3163" s="17"/>
    </row>
    <row r="3164" spans="1:10" x14ac:dyDescent="0.2">
      <c r="H3164" s="4" t="s">
        <v>95</v>
      </c>
      <c r="I3164" s="13">
        <f>SUM(I3154:I3163)</f>
        <v>0</v>
      </c>
    </row>
    <row r="3168" spans="1:10" ht="15" x14ac:dyDescent="0.25">
      <c r="A3168" s="21" t="s">
        <v>1680</v>
      </c>
      <c r="B3168" s="22"/>
      <c r="C3168" s="22"/>
      <c r="D3168" s="22"/>
      <c r="E3168" s="22"/>
      <c r="F3168" s="22"/>
      <c r="G3168" s="22"/>
      <c r="H3168" s="22"/>
      <c r="I3168" s="22"/>
      <c r="J3168" s="22"/>
    </row>
    <row r="3169" spans="1:10" ht="15" x14ac:dyDescent="0.25">
      <c r="A3169" s="21" t="s">
        <v>1681</v>
      </c>
      <c r="B3169" s="22"/>
      <c r="C3169" s="22"/>
      <c r="D3169" s="22"/>
      <c r="E3169" s="22"/>
      <c r="F3169" s="22"/>
      <c r="G3169" s="22"/>
      <c r="H3169" s="22"/>
      <c r="I3169" s="22"/>
      <c r="J3169" s="22"/>
    </row>
    <row r="3171" spans="1:10" ht="15" x14ac:dyDescent="0.25">
      <c r="A3171" s="3" t="s">
        <v>2</v>
      </c>
      <c r="B3171" s="3" t="s">
        <v>3</v>
      </c>
      <c r="C3171" s="3" t="s">
        <v>4</v>
      </c>
      <c r="D3171" s="3" t="s">
        <v>5</v>
      </c>
      <c r="E3171" s="3" t="s">
        <v>6</v>
      </c>
      <c r="F3171" s="7" t="s">
        <v>7</v>
      </c>
      <c r="G3171" s="3" t="s">
        <v>8</v>
      </c>
      <c r="H3171" s="7" t="s">
        <v>9</v>
      </c>
      <c r="I3171" s="7" t="s">
        <v>10</v>
      </c>
      <c r="J3171" s="3" t="s">
        <v>11</v>
      </c>
    </row>
    <row r="3172" spans="1:10" ht="164.25" x14ac:dyDescent="0.2">
      <c r="A3172" s="2" t="s">
        <v>1682</v>
      </c>
      <c r="B3172" s="9">
        <v>1</v>
      </c>
      <c r="C3172" s="9">
        <v>1</v>
      </c>
      <c r="D3172" s="10" t="s">
        <v>13</v>
      </c>
      <c r="E3172" s="11" t="s">
        <v>1298</v>
      </c>
      <c r="F3172" s="12">
        <v>35</v>
      </c>
      <c r="G3172" s="10" t="s">
        <v>83</v>
      </c>
      <c r="H3172" s="13"/>
      <c r="I3172" s="13"/>
      <c r="J3172" s="10"/>
    </row>
    <row r="3173" spans="1:10" x14ac:dyDescent="0.2">
      <c r="A3173" s="2" t="s">
        <v>1682</v>
      </c>
      <c r="B3173" s="9">
        <v>1</v>
      </c>
      <c r="C3173" s="9">
        <v>1</v>
      </c>
      <c r="D3173" s="10" t="s">
        <v>16</v>
      </c>
      <c r="E3173" s="11" t="s">
        <v>1150</v>
      </c>
      <c r="F3173" s="12">
        <v>2</v>
      </c>
      <c r="G3173" s="10" t="s">
        <v>31</v>
      </c>
      <c r="H3173" s="13"/>
      <c r="I3173" s="13"/>
      <c r="J3173" s="10"/>
    </row>
    <row r="3174" spans="1:10" x14ac:dyDescent="0.2">
      <c r="A3174" s="2" t="s">
        <v>1682</v>
      </c>
      <c r="B3174" s="9">
        <v>1</v>
      </c>
      <c r="C3174" s="9">
        <v>1</v>
      </c>
      <c r="D3174" s="10" t="s">
        <v>18</v>
      </c>
      <c r="E3174" s="11" t="s">
        <v>1151</v>
      </c>
      <c r="F3174" s="12">
        <v>4</v>
      </c>
      <c r="G3174" s="10" t="s">
        <v>31</v>
      </c>
      <c r="H3174" s="13"/>
      <c r="I3174" s="13"/>
      <c r="J3174" s="10"/>
    </row>
    <row r="3175" spans="1:10" ht="164.25" x14ac:dyDescent="0.2">
      <c r="A3175" s="2" t="s">
        <v>1682</v>
      </c>
      <c r="B3175" s="9">
        <v>1</v>
      </c>
      <c r="C3175" s="9">
        <v>1</v>
      </c>
      <c r="D3175" s="10" t="s">
        <v>20</v>
      </c>
      <c r="E3175" s="11" t="s">
        <v>1683</v>
      </c>
      <c r="F3175" s="12">
        <v>20</v>
      </c>
      <c r="G3175" s="10" t="s">
        <v>83</v>
      </c>
      <c r="H3175" s="13"/>
      <c r="I3175" s="13"/>
      <c r="J3175" s="10"/>
    </row>
    <row r="3176" spans="1:10" ht="44.25" x14ac:dyDescent="0.2">
      <c r="A3176" s="2" t="s">
        <v>1682</v>
      </c>
      <c r="B3176" s="9">
        <v>1</v>
      </c>
      <c r="C3176" s="9">
        <v>1</v>
      </c>
      <c r="D3176" s="10" t="s">
        <v>22</v>
      </c>
      <c r="E3176" s="11" t="s">
        <v>1684</v>
      </c>
      <c r="F3176" s="12">
        <v>11</v>
      </c>
      <c r="G3176" s="10" t="s">
        <v>83</v>
      </c>
      <c r="H3176" s="13"/>
      <c r="I3176" s="13"/>
      <c r="J3176" s="10"/>
    </row>
    <row r="3177" spans="1:10" ht="89.25" x14ac:dyDescent="0.2">
      <c r="A3177" s="2" t="s">
        <v>1682</v>
      </c>
      <c r="B3177" s="9">
        <v>1</v>
      </c>
      <c r="C3177" s="9">
        <v>1</v>
      </c>
      <c r="D3177" s="10" t="s">
        <v>24</v>
      </c>
      <c r="E3177" s="11" t="s">
        <v>1685</v>
      </c>
      <c r="F3177" s="12">
        <v>11</v>
      </c>
      <c r="G3177" s="10" t="s">
        <v>83</v>
      </c>
      <c r="H3177" s="13"/>
      <c r="I3177" s="13"/>
      <c r="J3177" s="10"/>
    </row>
    <row r="3178" spans="1:10" x14ac:dyDescent="0.2">
      <c r="A3178" s="1" t="s">
        <v>1686</v>
      </c>
      <c r="B3178" s="1"/>
      <c r="C3178" s="1"/>
      <c r="D3178" s="1"/>
      <c r="E3178" s="1"/>
      <c r="F3178" s="1"/>
      <c r="G3178" s="1"/>
      <c r="H3178" s="1" t="s">
        <v>67</v>
      </c>
      <c r="I3178" s="13">
        <f>I3172+I3173+I3174+I3175+I3176+I3177</f>
        <v>0</v>
      </c>
      <c r="J3178" s="1"/>
    </row>
    <row r="3181" spans="1:10" ht="15" x14ac:dyDescent="0.25">
      <c r="A3181" s="21" t="s">
        <v>1687</v>
      </c>
      <c r="B3181" s="22"/>
      <c r="C3181" s="22"/>
      <c r="D3181" s="22"/>
      <c r="E3181" s="22"/>
      <c r="F3181" s="22"/>
      <c r="G3181" s="22"/>
      <c r="H3181" s="22"/>
      <c r="I3181" s="22"/>
      <c r="J3181" s="22"/>
    </row>
    <row r="3182" spans="1:10" ht="15" x14ac:dyDescent="0.25">
      <c r="A3182" s="21" t="s">
        <v>1681</v>
      </c>
      <c r="B3182" s="22"/>
      <c r="C3182" s="22"/>
      <c r="D3182" s="22"/>
      <c r="E3182" s="22"/>
      <c r="F3182" s="22"/>
      <c r="G3182" s="22"/>
      <c r="H3182" s="22"/>
      <c r="I3182" s="22"/>
      <c r="J3182" s="22"/>
    </row>
    <row r="3184" spans="1:10" ht="15" x14ac:dyDescent="0.25">
      <c r="A3184" s="3" t="s">
        <v>2</v>
      </c>
      <c r="B3184" s="3" t="s">
        <v>3</v>
      </c>
      <c r="C3184" s="3" t="s">
        <v>4</v>
      </c>
      <c r="D3184" s="3" t="s">
        <v>5</v>
      </c>
      <c r="E3184" s="3" t="s">
        <v>6</v>
      </c>
      <c r="F3184" s="7" t="s">
        <v>7</v>
      </c>
      <c r="G3184" s="3" t="s">
        <v>8</v>
      </c>
      <c r="H3184" s="7" t="s">
        <v>9</v>
      </c>
      <c r="I3184" s="7" t="s">
        <v>10</v>
      </c>
      <c r="J3184" s="3" t="s">
        <v>11</v>
      </c>
    </row>
    <row r="3185" spans="1:10" ht="89.25" x14ac:dyDescent="0.2">
      <c r="A3185" s="2" t="s">
        <v>1682</v>
      </c>
      <c r="B3185" s="9">
        <v>1</v>
      </c>
      <c r="C3185" s="9">
        <v>2</v>
      </c>
      <c r="D3185" s="10" t="s">
        <v>13</v>
      </c>
      <c r="E3185" s="11" t="s">
        <v>1488</v>
      </c>
      <c r="F3185" s="12">
        <v>20</v>
      </c>
      <c r="G3185" s="10" t="s">
        <v>83</v>
      </c>
      <c r="H3185" s="13"/>
      <c r="I3185" s="13"/>
      <c r="J3185" s="10"/>
    </row>
    <row r="3186" spans="1:10" ht="74.25" x14ac:dyDescent="0.2">
      <c r="A3186" s="2" t="s">
        <v>1682</v>
      </c>
      <c r="B3186" s="9">
        <v>1</v>
      </c>
      <c r="C3186" s="9">
        <v>2</v>
      </c>
      <c r="D3186" s="10" t="s">
        <v>16</v>
      </c>
      <c r="E3186" s="11" t="s">
        <v>1341</v>
      </c>
      <c r="F3186" s="12">
        <v>20</v>
      </c>
      <c r="G3186" s="10" t="s">
        <v>83</v>
      </c>
      <c r="H3186" s="13"/>
      <c r="I3186" s="13"/>
      <c r="J3186" s="10"/>
    </row>
    <row r="3187" spans="1:10" x14ac:dyDescent="0.2">
      <c r="A3187" s="2" t="s">
        <v>1682</v>
      </c>
      <c r="B3187" s="9">
        <v>1</v>
      </c>
      <c r="C3187" s="9">
        <v>2</v>
      </c>
      <c r="D3187" s="10" t="s">
        <v>18</v>
      </c>
      <c r="E3187" s="11" t="s">
        <v>1168</v>
      </c>
      <c r="F3187" s="12">
        <v>4</v>
      </c>
      <c r="G3187" s="10" t="s">
        <v>31</v>
      </c>
      <c r="H3187" s="13"/>
      <c r="I3187" s="13"/>
      <c r="J3187" s="10"/>
    </row>
    <row r="3188" spans="1:10" x14ac:dyDescent="0.2">
      <c r="A3188" s="2" t="s">
        <v>1682</v>
      </c>
      <c r="B3188" s="9">
        <v>1</v>
      </c>
      <c r="C3188" s="9">
        <v>2</v>
      </c>
      <c r="D3188" s="10" t="s">
        <v>20</v>
      </c>
      <c r="E3188" s="11" t="s">
        <v>1177</v>
      </c>
      <c r="F3188" s="12">
        <v>11</v>
      </c>
      <c r="G3188" s="10" t="s">
        <v>83</v>
      </c>
      <c r="H3188" s="13"/>
      <c r="I3188" s="13"/>
      <c r="J3188" s="10"/>
    </row>
    <row r="3189" spans="1:10" ht="74.25" x14ac:dyDescent="0.2">
      <c r="A3189" s="2" t="s">
        <v>1682</v>
      </c>
      <c r="B3189" s="9">
        <v>1</v>
      </c>
      <c r="C3189" s="9">
        <v>2</v>
      </c>
      <c r="D3189" s="10" t="s">
        <v>22</v>
      </c>
      <c r="E3189" s="11" t="s">
        <v>1342</v>
      </c>
      <c r="F3189" s="12">
        <v>2</v>
      </c>
      <c r="G3189" s="10" t="s">
        <v>31</v>
      </c>
      <c r="H3189" s="13"/>
      <c r="I3189" s="13"/>
      <c r="J3189" s="10"/>
    </row>
    <row r="3190" spans="1:10" x14ac:dyDescent="0.2">
      <c r="A3190" s="2" t="s">
        <v>1682</v>
      </c>
      <c r="B3190" s="9">
        <v>1</v>
      </c>
      <c r="C3190" s="9">
        <v>2</v>
      </c>
      <c r="D3190" s="10" t="s">
        <v>24</v>
      </c>
      <c r="E3190" s="11" t="s">
        <v>1182</v>
      </c>
      <c r="F3190" s="12">
        <v>2</v>
      </c>
      <c r="G3190" s="10" t="s">
        <v>31</v>
      </c>
      <c r="H3190" s="13"/>
      <c r="I3190" s="13"/>
      <c r="J3190" s="10"/>
    </row>
    <row r="3191" spans="1:10" ht="164.25" x14ac:dyDescent="0.2">
      <c r="A3191" s="2" t="s">
        <v>1682</v>
      </c>
      <c r="B3191" s="9">
        <v>1</v>
      </c>
      <c r="C3191" s="9">
        <v>2</v>
      </c>
      <c r="D3191" s="10" t="s">
        <v>27</v>
      </c>
      <c r="E3191" s="11" t="s">
        <v>1688</v>
      </c>
      <c r="F3191" s="12">
        <v>2</v>
      </c>
      <c r="G3191" s="10" t="s">
        <v>31</v>
      </c>
      <c r="H3191" s="13"/>
      <c r="I3191" s="13"/>
      <c r="J3191" s="10"/>
    </row>
    <row r="3192" spans="1:10" x14ac:dyDescent="0.2">
      <c r="A3192" s="1" t="s">
        <v>1689</v>
      </c>
      <c r="B3192" s="1"/>
      <c r="C3192" s="1"/>
      <c r="D3192" s="1"/>
      <c r="E3192" s="1"/>
      <c r="F3192" s="1"/>
      <c r="G3192" s="1"/>
      <c r="H3192" s="1" t="s">
        <v>67</v>
      </c>
      <c r="I3192" s="13">
        <f>I3185+I3186+I3187+I3188+I3189+I3190+I3191</f>
        <v>0</v>
      </c>
      <c r="J3192" s="1"/>
    </row>
    <row r="3195" spans="1:10" ht="15" x14ac:dyDescent="0.25">
      <c r="A3195" s="21" t="s">
        <v>1690</v>
      </c>
      <c r="B3195" s="22"/>
      <c r="C3195" s="22"/>
      <c r="D3195" s="22"/>
      <c r="E3195" s="22"/>
      <c r="F3195" s="22"/>
      <c r="G3195" s="22"/>
      <c r="H3195" s="22"/>
      <c r="I3195" s="22"/>
      <c r="J3195" s="22"/>
    </row>
    <row r="3196" spans="1:10" ht="15" x14ac:dyDescent="0.25">
      <c r="A3196" s="21" t="s">
        <v>1681</v>
      </c>
      <c r="B3196" s="22"/>
      <c r="C3196" s="22"/>
      <c r="D3196" s="22"/>
      <c r="E3196" s="22"/>
      <c r="F3196" s="22"/>
      <c r="G3196" s="22"/>
      <c r="H3196" s="22"/>
      <c r="I3196" s="22"/>
      <c r="J3196" s="22"/>
    </row>
    <row r="3198" spans="1:10" ht="15" x14ac:dyDescent="0.25">
      <c r="A3198" s="3" t="s">
        <v>2</v>
      </c>
      <c r="B3198" s="3" t="s">
        <v>3</v>
      </c>
      <c r="C3198" s="3" t="s">
        <v>4</v>
      </c>
      <c r="D3198" s="3" t="s">
        <v>5</v>
      </c>
      <c r="E3198" s="3" t="s">
        <v>6</v>
      </c>
      <c r="F3198" s="7" t="s">
        <v>7</v>
      </c>
      <c r="G3198" s="3" t="s">
        <v>8</v>
      </c>
      <c r="H3198" s="7" t="s">
        <v>9</v>
      </c>
      <c r="I3198" s="7" t="s">
        <v>10</v>
      </c>
      <c r="J3198" s="3" t="s">
        <v>11</v>
      </c>
    </row>
    <row r="3199" spans="1:10" ht="119.25" x14ac:dyDescent="0.2">
      <c r="A3199" s="2" t="s">
        <v>1682</v>
      </c>
      <c r="B3199" s="9">
        <v>1</v>
      </c>
      <c r="C3199" s="9">
        <v>3</v>
      </c>
      <c r="D3199" s="10" t="s">
        <v>13</v>
      </c>
      <c r="E3199" s="11" t="s">
        <v>1691</v>
      </c>
      <c r="F3199" s="12">
        <v>1</v>
      </c>
      <c r="G3199" s="10" t="s">
        <v>31</v>
      </c>
      <c r="H3199" s="13"/>
      <c r="I3199" s="13"/>
      <c r="J3199" s="10"/>
    </row>
    <row r="3200" spans="1:10" ht="74.25" x14ac:dyDescent="0.2">
      <c r="A3200" s="2" t="s">
        <v>1682</v>
      </c>
      <c r="B3200" s="9">
        <v>1</v>
      </c>
      <c r="C3200" s="9">
        <v>3</v>
      </c>
      <c r="D3200" s="10" t="s">
        <v>16</v>
      </c>
      <c r="E3200" s="11" t="s">
        <v>1199</v>
      </c>
      <c r="F3200" s="12">
        <v>1</v>
      </c>
      <c r="G3200" s="10" t="s">
        <v>15</v>
      </c>
      <c r="H3200" s="13"/>
      <c r="I3200" s="13"/>
      <c r="J3200" s="10"/>
    </row>
    <row r="3201" spans="1:10" x14ac:dyDescent="0.2">
      <c r="A3201" s="2" t="s">
        <v>1682</v>
      </c>
      <c r="B3201" s="9">
        <v>1</v>
      </c>
      <c r="C3201" s="9">
        <v>3</v>
      </c>
      <c r="D3201" s="10" t="s">
        <v>18</v>
      </c>
      <c r="E3201" s="11" t="s">
        <v>1200</v>
      </c>
      <c r="F3201" s="12">
        <v>1</v>
      </c>
      <c r="G3201" s="10" t="s">
        <v>15</v>
      </c>
      <c r="H3201" s="13"/>
      <c r="I3201" s="13"/>
      <c r="J3201" s="10"/>
    </row>
    <row r="3202" spans="1:10" ht="44.25" x14ac:dyDescent="0.2">
      <c r="A3202" s="2" t="s">
        <v>1682</v>
      </c>
      <c r="B3202" s="9">
        <v>1</v>
      </c>
      <c r="C3202" s="9">
        <v>3</v>
      </c>
      <c r="D3202" s="10" t="s">
        <v>20</v>
      </c>
      <c r="E3202" s="11" t="s">
        <v>1201</v>
      </c>
      <c r="F3202" s="12">
        <v>1</v>
      </c>
      <c r="G3202" s="10" t="s">
        <v>15</v>
      </c>
      <c r="H3202" s="13"/>
      <c r="I3202" s="13"/>
      <c r="J3202" s="10"/>
    </row>
    <row r="3203" spans="1:10" x14ac:dyDescent="0.2">
      <c r="A3203" s="2" t="s">
        <v>1682</v>
      </c>
      <c r="B3203" s="9">
        <v>1</v>
      </c>
      <c r="C3203" s="9">
        <v>3</v>
      </c>
      <c r="D3203" s="10" t="s">
        <v>22</v>
      </c>
      <c r="E3203" s="11" t="s">
        <v>1200</v>
      </c>
      <c r="F3203" s="12">
        <v>1</v>
      </c>
      <c r="G3203" s="10" t="s">
        <v>15</v>
      </c>
      <c r="H3203" s="13"/>
      <c r="I3203" s="13"/>
      <c r="J3203" s="10"/>
    </row>
    <row r="3204" spans="1:10" ht="44.25" x14ac:dyDescent="0.2">
      <c r="A3204" s="2" t="s">
        <v>1682</v>
      </c>
      <c r="B3204" s="9">
        <v>1</v>
      </c>
      <c r="C3204" s="9">
        <v>3</v>
      </c>
      <c r="D3204" s="10" t="s">
        <v>24</v>
      </c>
      <c r="E3204" s="11" t="s">
        <v>1347</v>
      </c>
      <c r="F3204" s="12">
        <v>1</v>
      </c>
      <c r="G3204" s="10" t="s">
        <v>15</v>
      </c>
      <c r="H3204" s="13"/>
      <c r="I3204" s="13"/>
      <c r="J3204" s="10"/>
    </row>
    <row r="3205" spans="1:10" ht="74.25" x14ac:dyDescent="0.2">
      <c r="A3205" s="2" t="s">
        <v>1682</v>
      </c>
      <c r="B3205" s="9">
        <v>1</v>
      </c>
      <c r="C3205" s="9">
        <v>3</v>
      </c>
      <c r="D3205" s="10" t="s">
        <v>27</v>
      </c>
      <c r="E3205" s="11" t="s">
        <v>1207</v>
      </c>
      <c r="F3205" s="12">
        <v>1</v>
      </c>
      <c r="G3205" s="10" t="s">
        <v>15</v>
      </c>
      <c r="H3205" s="13"/>
      <c r="I3205" s="13"/>
      <c r="J3205" s="10"/>
    </row>
    <row r="3206" spans="1:10" x14ac:dyDescent="0.2">
      <c r="A3206" s="1" t="s">
        <v>1692</v>
      </c>
      <c r="B3206" s="1"/>
      <c r="C3206" s="1"/>
      <c r="D3206" s="1"/>
      <c r="E3206" s="1"/>
      <c r="F3206" s="1"/>
      <c r="G3206" s="1"/>
      <c r="H3206" s="1" t="s">
        <v>67</v>
      </c>
      <c r="I3206" s="13">
        <f>I3199+I3200+I3201+I3202+I3203+I3204+I3205</f>
        <v>0</v>
      </c>
      <c r="J3206" s="1"/>
    </row>
    <row r="3214" spans="1:10" ht="15" x14ac:dyDescent="0.25">
      <c r="A3214" s="3" t="s">
        <v>89</v>
      </c>
      <c r="B3214" s="14"/>
      <c r="C3214" s="14"/>
      <c r="D3214" s="14"/>
      <c r="E3214" s="14"/>
      <c r="F3214" s="14"/>
      <c r="G3214" s="14"/>
      <c r="H3214" s="14"/>
      <c r="I3214" s="7" t="s">
        <v>90</v>
      </c>
    </row>
    <row r="3215" spans="1:10" x14ac:dyDescent="0.2">
      <c r="A3215" s="15" t="s">
        <v>1693</v>
      </c>
      <c r="I3215" s="16">
        <f>I3178</f>
        <v>0</v>
      </c>
    </row>
    <row r="3216" spans="1:10" x14ac:dyDescent="0.2">
      <c r="A3216" s="15" t="s">
        <v>1694</v>
      </c>
      <c r="I3216" s="16">
        <f>I3192</f>
        <v>0</v>
      </c>
    </row>
    <row r="3217" spans="1:10" x14ac:dyDescent="0.2">
      <c r="A3217" s="15" t="s">
        <v>1695</v>
      </c>
      <c r="I3217" s="16">
        <f>I3206</f>
        <v>0</v>
      </c>
    </row>
    <row r="3218" spans="1:10" x14ac:dyDescent="0.2">
      <c r="A3218" s="15"/>
      <c r="I3218" s="15"/>
    </row>
    <row r="3219" spans="1:10" x14ac:dyDescent="0.2">
      <c r="A3219" s="17"/>
      <c r="B3219" s="18"/>
      <c r="C3219" s="18"/>
      <c r="D3219" s="18"/>
      <c r="E3219" s="18"/>
      <c r="F3219" s="18"/>
      <c r="G3219" s="18"/>
      <c r="H3219" s="18"/>
      <c r="I3219" s="17"/>
    </row>
    <row r="3220" spans="1:10" x14ac:dyDescent="0.2">
      <c r="H3220" s="4" t="s">
        <v>95</v>
      </c>
      <c r="I3220" s="13">
        <f>SUM(I3215:I3219)</f>
        <v>0</v>
      </c>
    </row>
    <row r="3224" spans="1:10" ht="15" x14ac:dyDescent="0.25">
      <c r="A3224" s="21" t="s">
        <v>1696</v>
      </c>
      <c r="B3224" s="22"/>
      <c r="C3224" s="22"/>
      <c r="D3224" s="22"/>
      <c r="E3224" s="22"/>
      <c r="F3224" s="22"/>
      <c r="G3224" s="22"/>
      <c r="H3224" s="22"/>
      <c r="I3224" s="22"/>
      <c r="J3224" s="22"/>
    </row>
    <row r="3225" spans="1:10" ht="15" x14ac:dyDescent="0.25">
      <c r="A3225" s="21" t="s">
        <v>1697</v>
      </c>
      <c r="B3225" s="22"/>
      <c r="C3225" s="22"/>
      <c r="D3225" s="22"/>
      <c r="E3225" s="22"/>
      <c r="F3225" s="22"/>
      <c r="G3225" s="22"/>
      <c r="H3225" s="22"/>
      <c r="I3225" s="22"/>
      <c r="J3225" s="22"/>
    </row>
    <row r="3227" spans="1:10" ht="15" x14ac:dyDescent="0.25">
      <c r="A3227" s="3" t="s">
        <v>2</v>
      </c>
      <c r="B3227" s="3" t="s">
        <v>3</v>
      </c>
      <c r="C3227" s="3" t="s">
        <v>4</v>
      </c>
      <c r="D3227" s="3" t="s">
        <v>5</v>
      </c>
      <c r="E3227" s="3" t="s">
        <v>6</v>
      </c>
      <c r="F3227" s="7" t="s">
        <v>7</v>
      </c>
      <c r="G3227" s="3" t="s">
        <v>8</v>
      </c>
      <c r="H3227" s="7" t="s">
        <v>9</v>
      </c>
      <c r="I3227" s="7" t="s">
        <v>10</v>
      </c>
      <c r="J3227" s="3" t="s">
        <v>11</v>
      </c>
    </row>
    <row r="3228" spans="1:10" ht="179.25" x14ac:dyDescent="0.2">
      <c r="A3228" s="2" t="s">
        <v>1698</v>
      </c>
      <c r="B3228" s="9">
        <v>1</v>
      </c>
      <c r="C3228" s="9">
        <v>1</v>
      </c>
      <c r="D3228" s="10" t="s">
        <v>13</v>
      </c>
      <c r="E3228" s="11" t="s">
        <v>1498</v>
      </c>
      <c r="F3228" s="12">
        <v>0</v>
      </c>
      <c r="G3228" s="10" t="s">
        <v>83</v>
      </c>
      <c r="H3228" s="13"/>
      <c r="I3228" s="13"/>
      <c r="J3228" s="10"/>
    </row>
    <row r="3229" spans="1:10" ht="74.25" x14ac:dyDescent="0.2">
      <c r="A3229" s="2" t="s">
        <v>1698</v>
      </c>
      <c r="B3229" s="9">
        <v>1</v>
      </c>
      <c r="C3229" s="9">
        <v>1</v>
      </c>
      <c r="D3229" s="10" t="s">
        <v>16</v>
      </c>
      <c r="E3229" s="11" t="s">
        <v>1421</v>
      </c>
      <c r="F3229" s="12">
        <v>0</v>
      </c>
      <c r="G3229" s="10" t="s">
        <v>83</v>
      </c>
      <c r="H3229" s="13"/>
      <c r="I3229" s="13"/>
      <c r="J3229" s="10"/>
    </row>
    <row r="3230" spans="1:10" ht="74.25" x14ac:dyDescent="0.2">
      <c r="A3230" s="2" t="s">
        <v>1698</v>
      </c>
      <c r="B3230" s="9">
        <v>1</v>
      </c>
      <c r="C3230" s="9">
        <v>1</v>
      </c>
      <c r="D3230" s="10" t="s">
        <v>18</v>
      </c>
      <c r="E3230" s="11" t="s">
        <v>1699</v>
      </c>
      <c r="F3230" s="12">
        <v>0</v>
      </c>
      <c r="G3230" s="10" t="s">
        <v>31</v>
      </c>
      <c r="H3230" s="13"/>
      <c r="I3230" s="13"/>
      <c r="J3230" s="10"/>
    </row>
    <row r="3231" spans="1:10" ht="44.25" x14ac:dyDescent="0.2">
      <c r="A3231" s="2" t="s">
        <v>1698</v>
      </c>
      <c r="B3231" s="9">
        <v>1</v>
      </c>
      <c r="C3231" s="9">
        <v>1</v>
      </c>
      <c r="D3231" s="10" t="s">
        <v>20</v>
      </c>
      <c r="E3231" s="11" t="s">
        <v>1700</v>
      </c>
      <c r="F3231" s="12">
        <v>0</v>
      </c>
      <c r="G3231" s="10" t="s">
        <v>31</v>
      </c>
      <c r="H3231" s="13"/>
      <c r="I3231" s="13"/>
      <c r="J3231" s="10"/>
    </row>
    <row r="3232" spans="1:10" ht="74.25" x14ac:dyDescent="0.2">
      <c r="A3232" s="2" t="s">
        <v>1698</v>
      </c>
      <c r="B3232" s="9">
        <v>1</v>
      </c>
      <c r="C3232" s="9">
        <v>1</v>
      </c>
      <c r="D3232" s="10" t="s">
        <v>22</v>
      </c>
      <c r="E3232" s="11" t="s">
        <v>1500</v>
      </c>
      <c r="F3232" s="12">
        <v>0</v>
      </c>
      <c r="G3232" s="10" t="s">
        <v>83</v>
      </c>
      <c r="H3232" s="13"/>
      <c r="I3232" s="13"/>
      <c r="J3232" s="10"/>
    </row>
    <row r="3233" spans="1:10" ht="74.25" x14ac:dyDescent="0.2">
      <c r="A3233" s="2" t="s">
        <v>1698</v>
      </c>
      <c r="B3233" s="9">
        <v>1</v>
      </c>
      <c r="C3233" s="9">
        <v>1</v>
      </c>
      <c r="D3233" s="10" t="s">
        <v>24</v>
      </c>
      <c r="E3233" s="11" t="s">
        <v>1701</v>
      </c>
      <c r="F3233" s="12">
        <v>0</v>
      </c>
      <c r="G3233" s="10" t="s">
        <v>31</v>
      </c>
      <c r="H3233" s="13"/>
      <c r="I3233" s="13"/>
      <c r="J3233" s="10"/>
    </row>
    <row r="3234" spans="1:10" x14ac:dyDescent="0.2">
      <c r="A3234" s="2" t="s">
        <v>1698</v>
      </c>
      <c r="B3234" s="9">
        <v>1</v>
      </c>
      <c r="C3234" s="9">
        <v>1</v>
      </c>
      <c r="D3234" s="10" t="s">
        <v>27</v>
      </c>
      <c r="E3234" s="11" t="s">
        <v>1437</v>
      </c>
      <c r="F3234" s="12">
        <v>0</v>
      </c>
      <c r="G3234" s="10" t="s">
        <v>31</v>
      </c>
      <c r="H3234" s="13"/>
      <c r="I3234" s="13"/>
      <c r="J3234" s="10"/>
    </row>
    <row r="3235" spans="1:10" x14ac:dyDescent="0.2">
      <c r="A3235" s="2" t="s">
        <v>1698</v>
      </c>
      <c r="B3235" s="9">
        <v>1</v>
      </c>
      <c r="C3235" s="9">
        <v>1</v>
      </c>
      <c r="D3235" s="10" t="s">
        <v>29</v>
      </c>
      <c r="E3235" s="11" t="s">
        <v>1439</v>
      </c>
      <c r="F3235" s="12">
        <v>0</v>
      </c>
      <c r="G3235" s="10" t="s">
        <v>31</v>
      </c>
      <c r="H3235" s="13"/>
      <c r="I3235" s="13"/>
      <c r="J3235" s="10"/>
    </row>
    <row r="3236" spans="1:10" x14ac:dyDescent="0.2">
      <c r="A3236" s="1" t="s">
        <v>1702</v>
      </c>
      <c r="B3236" s="1"/>
      <c r="C3236" s="1"/>
      <c r="D3236" s="1"/>
      <c r="E3236" s="1"/>
      <c r="F3236" s="1"/>
      <c r="G3236" s="1"/>
      <c r="H3236" s="1" t="s">
        <v>67</v>
      </c>
      <c r="I3236" s="13">
        <f>I3228+I3229+I3230+I3231+I3232+I3233+I3234+I3235</f>
        <v>0</v>
      </c>
      <c r="J3236" s="1"/>
    </row>
    <row r="3239" spans="1:10" ht="15" x14ac:dyDescent="0.25">
      <c r="A3239" s="21" t="s">
        <v>1703</v>
      </c>
      <c r="B3239" s="22"/>
      <c r="C3239" s="22"/>
      <c r="D3239" s="22"/>
      <c r="E3239" s="22"/>
      <c r="F3239" s="22"/>
      <c r="G3239" s="22"/>
      <c r="H3239" s="22"/>
      <c r="I3239" s="22"/>
      <c r="J3239" s="22"/>
    </row>
    <row r="3240" spans="1:10" ht="15" x14ac:dyDescent="0.25">
      <c r="A3240" s="21" t="s">
        <v>1697</v>
      </c>
      <c r="B3240" s="22"/>
      <c r="C3240" s="22"/>
      <c r="D3240" s="22"/>
      <c r="E3240" s="22"/>
      <c r="F3240" s="22"/>
      <c r="G3240" s="22"/>
      <c r="H3240" s="22"/>
      <c r="I3240" s="22"/>
      <c r="J3240" s="22"/>
    </row>
    <row r="3242" spans="1:10" ht="15" x14ac:dyDescent="0.25">
      <c r="A3242" s="3" t="s">
        <v>2</v>
      </c>
      <c r="B3242" s="3" t="s">
        <v>3</v>
      </c>
      <c r="C3242" s="3" t="s">
        <v>4</v>
      </c>
      <c r="D3242" s="3" t="s">
        <v>5</v>
      </c>
      <c r="E3242" s="3" t="s">
        <v>6</v>
      </c>
      <c r="F3242" s="7" t="s">
        <v>7</v>
      </c>
      <c r="G3242" s="3" t="s">
        <v>8</v>
      </c>
      <c r="H3242" s="7" t="s">
        <v>9</v>
      </c>
      <c r="I3242" s="7" t="s">
        <v>10</v>
      </c>
      <c r="J3242" s="3" t="s">
        <v>11</v>
      </c>
    </row>
    <row r="3243" spans="1:10" ht="74.25" x14ac:dyDescent="0.2">
      <c r="A3243" s="2" t="s">
        <v>1698</v>
      </c>
      <c r="B3243" s="9">
        <v>1</v>
      </c>
      <c r="C3243" s="9">
        <v>2</v>
      </c>
      <c r="D3243" s="10" t="s">
        <v>13</v>
      </c>
      <c r="E3243" s="11" t="s">
        <v>1505</v>
      </c>
      <c r="F3243" s="12">
        <v>0</v>
      </c>
      <c r="G3243" s="10" t="s">
        <v>83</v>
      </c>
      <c r="H3243" s="13"/>
      <c r="I3243" s="13"/>
      <c r="J3243" s="10"/>
    </row>
    <row r="3244" spans="1:10" ht="89.25" x14ac:dyDescent="0.2">
      <c r="A3244" s="2" t="s">
        <v>1698</v>
      </c>
      <c r="B3244" s="9">
        <v>1</v>
      </c>
      <c r="C3244" s="9">
        <v>2</v>
      </c>
      <c r="D3244" s="10" t="s">
        <v>16</v>
      </c>
      <c r="E3244" s="11" t="s">
        <v>1506</v>
      </c>
      <c r="F3244" s="12">
        <v>1</v>
      </c>
      <c r="G3244" s="10" t="s">
        <v>15</v>
      </c>
      <c r="H3244" s="13"/>
      <c r="I3244" s="6"/>
      <c r="J3244" s="10"/>
    </row>
    <row r="3245" spans="1:10" x14ac:dyDescent="0.2">
      <c r="A3245" s="1" t="s">
        <v>1704</v>
      </c>
      <c r="B3245" s="1"/>
      <c r="C3245" s="1"/>
      <c r="D3245" s="1"/>
      <c r="E3245" s="1"/>
      <c r="F3245" s="1"/>
      <c r="G3245" s="1"/>
      <c r="H3245" s="1" t="s">
        <v>67</v>
      </c>
      <c r="I3245" s="13">
        <f>I3243</f>
        <v>0</v>
      </c>
      <c r="J3245" s="1"/>
    </row>
    <row r="3253" spans="1:10" ht="15" x14ac:dyDescent="0.25">
      <c r="A3253" s="3" t="s">
        <v>89</v>
      </c>
      <c r="B3253" s="14"/>
      <c r="C3253" s="14"/>
      <c r="D3253" s="14"/>
      <c r="E3253" s="14"/>
      <c r="F3253" s="14"/>
      <c r="G3253" s="14"/>
      <c r="H3253" s="14"/>
      <c r="I3253" s="7" t="s">
        <v>90</v>
      </c>
    </row>
    <row r="3254" spans="1:10" x14ac:dyDescent="0.2">
      <c r="A3254" s="15" t="s">
        <v>1705</v>
      </c>
      <c r="I3254" s="16">
        <f>I3236</f>
        <v>0</v>
      </c>
    </row>
    <row r="3255" spans="1:10" x14ac:dyDescent="0.2">
      <c r="A3255" s="15" t="s">
        <v>1706</v>
      </c>
      <c r="I3255" s="16">
        <f>I3245</f>
        <v>0</v>
      </c>
    </row>
    <row r="3256" spans="1:10" x14ac:dyDescent="0.2">
      <c r="A3256" s="15"/>
      <c r="I3256" s="15"/>
    </row>
    <row r="3257" spans="1:10" x14ac:dyDescent="0.2">
      <c r="A3257" s="17"/>
      <c r="B3257" s="18"/>
      <c r="C3257" s="18"/>
      <c r="D3257" s="18"/>
      <c r="E3257" s="18"/>
      <c r="F3257" s="18"/>
      <c r="G3257" s="18"/>
      <c r="H3257" s="18"/>
      <c r="I3257" s="17"/>
    </row>
    <row r="3258" spans="1:10" x14ac:dyDescent="0.2">
      <c r="H3258" s="4" t="s">
        <v>95</v>
      </c>
      <c r="I3258" s="13">
        <f>SUM(I3254:I3257)</f>
        <v>0</v>
      </c>
    </row>
    <row r="3262" spans="1:10" ht="15" x14ac:dyDescent="0.25">
      <c r="A3262" s="21" t="s">
        <v>1707</v>
      </c>
      <c r="B3262" s="22"/>
      <c r="C3262" s="22"/>
      <c r="D3262" s="22"/>
      <c r="E3262" s="22"/>
      <c r="F3262" s="22"/>
      <c r="G3262" s="22"/>
      <c r="H3262" s="22"/>
      <c r="I3262" s="22"/>
      <c r="J3262" s="22"/>
    </row>
    <row r="3263" spans="1:10" ht="15" x14ac:dyDescent="0.25">
      <c r="A3263" s="21" t="s">
        <v>1708</v>
      </c>
      <c r="B3263" s="22"/>
      <c r="C3263" s="22"/>
      <c r="D3263" s="22"/>
      <c r="E3263" s="22"/>
      <c r="F3263" s="22"/>
      <c r="G3263" s="22"/>
      <c r="H3263" s="22"/>
      <c r="I3263" s="22"/>
      <c r="J3263" s="22"/>
    </row>
    <row r="3265" spans="1:10" ht="15" x14ac:dyDescent="0.25">
      <c r="A3265" s="3" t="s">
        <v>2</v>
      </c>
      <c r="B3265" s="3" t="s">
        <v>3</v>
      </c>
      <c r="C3265" s="3" t="s">
        <v>4</v>
      </c>
      <c r="D3265" s="3" t="s">
        <v>5</v>
      </c>
      <c r="E3265" s="3" t="s">
        <v>6</v>
      </c>
      <c r="F3265" s="7" t="s">
        <v>7</v>
      </c>
      <c r="G3265" s="3" t="s">
        <v>8</v>
      </c>
      <c r="H3265" s="7" t="s">
        <v>9</v>
      </c>
      <c r="I3265" s="7" t="s">
        <v>10</v>
      </c>
      <c r="J3265" s="3" t="s">
        <v>11</v>
      </c>
    </row>
    <row r="3266" spans="1:10" ht="164.25" x14ac:dyDescent="0.2">
      <c r="A3266" s="2" t="s">
        <v>1709</v>
      </c>
      <c r="B3266" s="9">
        <v>1</v>
      </c>
      <c r="C3266" s="9">
        <v>1</v>
      </c>
      <c r="D3266" s="10" t="s">
        <v>13</v>
      </c>
      <c r="E3266" s="11" t="s">
        <v>1710</v>
      </c>
      <c r="F3266" s="12">
        <v>1</v>
      </c>
      <c r="G3266" s="10" t="s">
        <v>31</v>
      </c>
      <c r="H3266" s="13"/>
      <c r="I3266" s="13"/>
      <c r="J3266" s="10"/>
    </row>
    <row r="3267" spans="1:10" ht="59.25" x14ac:dyDescent="0.2">
      <c r="A3267" s="2" t="s">
        <v>1709</v>
      </c>
      <c r="B3267" s="9">
        <v>1</v>
      </c>
      <c r="C3267" s="9">
        <v>1</v>
      </c>
      <c r="D3267" s="10" t="s">
        <v>16</v>
      </c>
      <c r="E3267" s="11" t="s">
        <v>70</v>
      </c>
      <c r="F3267" s="12">
        <v>1</v>
      </c>
      <c r="G3267" s="10" t="s">
        <v>31</v>
      </c>
      <c r="H3267" s="13"/>
      <c r="I3267" s="13"/>
      <c r="J3267" s="10"/>
    </row>
    <row r="3268" spans="1:10" ht="104.25" x14ac:dyDescent="0.2">
      <c r="A3268" s="2" t="s">
        <v>1709</v>
      </c>
      <c r="B3268" s="9">
        <v>1</v>
      </c>
      <c r="C3268" s="9">
        <v>1</v>
      </c>
      <c r="D3268" s="10" t="s">
        <v>18</v>
      </c>
      <c r="E3268" s="11" t="s">
        <v>1711</v>
      </c>
      <c r="F3268" s="12">
        <v>2</v>
      </c>
      <c r="G3268" s="10" t="s">
        <v>31</v>
      </c>
      <c r="H3268" s="13"/>
      <c r="I3268" s="6"/>
      <c r="J3268" s="10"/>
    </row>
    <row r="3269" spans="1:10" ht="104.25" x14ac:dyDescent="0.2">
      <c r="A3269" s="2" t="s">
        <v>1709</v>
      </c>
      <c r="B3269" s="9">
        <v>1</v>
      </c>
      <c r="C3269" s="9">
        <v>1</v>
      </c>
      <c r="D3269" s="10" t="s">
        <v>20</v>
      </c>
      <c r="E3269" s="11" t="s">
        <v>72</v>
      </c>
      <c r="F3269" s="12">
        <v>3</v>
      </c>
      <c r="G3269" s="10" t="s">
        <v>31</v>
      </c>
      <c r="H3269" s="13"/>
      <c r="I3269" s="13"/>
      <c r="J3269" s="10"/>
    </row>
    <row r="3270" spans="1:10" ht="104.25" x14ac:dyDescent="0.2">
      <c r="A3270" s="2" t="s">
        <v>1709</v>
      </c>
      <c r="B3270" s="9">
        <v>1</v>
      </c>
      <c r="C3270" s="9">
        <v>1</v>
      </c>
      <c r="D3270" s="10" t="s">
        <v>22</v>
      </c>
      <c r="E3270" s="11" t="s">
        <v>1712</v>
      </c>
      <c r="F3270" s="12">
        <v>1</v>
      </c>
      <c r="G3270" s="10" t="s">
        <v>31</v>
      </c>
      <c r="H3270" s="13"/>
      <c r="I3270" s="13"/>
      <c r="J3270" s="10"/>
    </row>
    <row r="3271" spans="1:10" x14ac:dyDescent="0.2">
      <c r="A3271" s="1" t="s">
        <v>1713</v>
      </c>
      <c r="B3271" s="1"/>
      <c r="C3271" s="1"/>
      <c r="D3271" s="1"/>
      <c r="E3271" s="1"/>
      <c r="F3271" s="1"/>
      <c r="G3271" s="1"/>
      <c r="H3271" s="1" t="s">
        <v>67</v>
      </c>
      <c r="I3271" s="13">
        <f>I3266+I3267+I3269+I3270</f>
        <v>0</v>
      </c>
      <c r="J3271" s="1"/>
    </row>
    <row r="3274" spans="1:10" ht="15" x14ac:dyDescent="0.25">
      <c r="A3274" s="21" t="s">
        <v>1714</v>
      </c>
      <c r="B3274" s="22"/>
      <c r="C3274" s="22"/>
      <c r="D3274" s="22"/>
      <c r="E3274" s="22"/>
      <c r="F3274" s="22"/>
      <c r="G3274" s="22"/>
      <c r="H3274" s="22"/>
      <c r="I3274" s="22"/>
      <c r="J3274" s="22"/>
    </row>
    <row r="3275" spans="1:10" ht="15" x14ac:dyDescent="0.25">
      <c r="A3275" s="21" t="s">
        <v>1708</v>
      </c>
      <c r="B3275" s="22"/>
      <c r="C3275" s="22"/>
      <c r="D3275" s="22"/>
      <c r="E3275" s="22"/>
      <c r="F3275" s="22"/>
      <c r="G3275" s="22"/>
      <c r="H3275" s="22"/>
      <c r="I3275" s="22"/>
      <c r="J3275" s="22"/>
    </row>
    <row r="3277" spans="1:10" ht="15" x14ac:dyDescent="0.25">
      <c r="A3277" s="3" t="s">
        <v>2</v>
      </c>
      <c r="B3277" s="3" t="s">
        <v>3</v>
      </c>
      <c r="C3277" s="3" t="s">
        <v>4</v>
      </c>
      <c r="D3277" s="3" t="s">
        <v>5</v>
      </c>
      <c r="E3277" s="3" t="s">
        <v>6</v>
      </c>
      <c r="F3277" s="7" t="s">
        <v>7</v>
      </c>
      <c r="G3277" s="3" t="s">
        <v>8</v>
      </c>
      <c r="H3277" s="7" t="s">
        <v>9</v>
      </c>
      <c r="I3277" s="7" t="s">
        <v>10</v>
      </c>
      <c r="J3277" s="3" t="s">
        <v>11</v>
      </c>
    </row>
    <row r="3278" spans="1:10" ht="104.25" x14ac:dyDescent="0.2">
      <c r="A3278" s="2" t="s">
        <v>1709</v>
      </c>
      <c r="B3278" s="9">
        <v>1</v>
      </c>
      <c r="C3278" s="9">
        <v>2</v>
      </c>
      <c r="D3278" s="10" t="s">
        <v>13</v>
      </c>
      <c r="E3278" s="11" t="s">
        <v>1715</v>
      </c>
      <c r="F3278" s="12">
        <v>6</v>
      </c>
      <c r="G3278" s="10" t="s">
        <v>31</v>
      </c>
      <c r="H3278" s="13"/>
      <c r="I3278" s="13"/>
      <c r="J3278" s="10"/>
    </row>
    <row r="3279" spans="1:10" ht="134.25" x14ac:dyDescent="0.2">
      <c r="A3279" s="2" t="s">
        <v>1709</v>
      </c>
      <c r="B3279" s="9">
        <v>1</v>
      </c>
      <c r="C3279" s="9">
        <v>2</v>
      </c>
      <c r="D3279" s="10" t="s">
        <v>16</v>
      </c>
      <c r="E3279" s="11" t="s">
        <v>1716</v>
      </c>
      <c r="F3279" s="12">
        <v>246.99999999999997</v>
      </c>
      <c r="G3279" s="10" t="s">
        <v>109</v>
      </c>
      <c r="H3279" s="13"/>
      <c r="I3279" s="6"/>
      <c r="J3279" s="10"/>
    </row>
    <row r="3280" spans="1:10" ht="89.25" x14ac:dyDescent="0.2">
      <c r="A3280" s="2" t="s">
        <v>1709</v>
      </c>
      <c r="B3280" s="9">
        <v>1</v>
      </c>
      <c r="C3280" s="9">
        <v>2</v>
      </c>
      <c r="D3280" s="10" t="s">
        <v>18</v>
      </c>
      <c r="E3280" s="11" t="s">
        <v>1717</v>
      </c>
      <c r="F3280" s="12">
        <v>57.999999999999993</v>
      </c>
      <c r="G3280" s="10" t="s">
        <v>83</v>
      </c>
      <c r="H3280" s="13"/>
      <c r="I3280" s="13"/>
      <c r="J3280" s="10"/>
    </row>
    <row r="3281" spans="1:10" x14ac:dyDescent="0.2">
      <c r="A3281" s="1" t="s">
        <v>1718</v>
      </c>
      <c r="B3281" s="1"/>
      <c r="C3281" s="1"/>
      <c r="D3281" s="1"/>
      <c r="E3281" s="1"/>
      <c r="F3281" s="1"/>
      <c r="G3281" s="1"/>
      <c r="H3281" s="1" t="s">
        <v>67</v>
      </c>
      <c r="I3281" s="13">
        <f>I3278+I3280</f>
        <v>0</v>
      </c>
      <c r="J3281" s="1"/>
    </row>
    <row r="3289" spans="1:10" ht="15" x14ac:dyDescent="0.25">
      <c r="A3289" s="3" t="s">
        <v>89</v>
      </c>
      <c r="B3289" s="14"/>
      <c r="C3289" s="14"/>
      <c r="D3289" s="14"/>
      <c r="E3289" s="14"/>
      <c r="F3289" s="14"/>
      <c r="G3289" s="14"/>
      <c r="H3289" s="14"/>
      <c r="I3289" s="7" t="s">
        <v>90</v>
      </c>
    </row>
    <row r="3290" spans="1:10" x14ac:dyDescent="0.2">
      <c r="A3290" s="15" t="s">
        <v>1719</v>
      </c>
      <c r="I3290" s="16">
        <f>I3271</f>
        <v>0</v>
      </c>
    </row>
    <row r="3291" spans="1:10" x14ac:dyDescent="0.2">
      <c r="A3291" s="15" t="s">
        <v>1720</v>
      </c>
      <c r="I3291" s="16">
        <f>I3281</f>
        <v>0</v>
      </c>
    </row>
    <row r="3292" spans="1:10" x14ac:dyDescent="0.2">
      <c r="A3292" s="15"/>
      <c r="I3292" s="15"/>
    </row>
    <row r="3293" spans="1:10" x14ac:dyDescent="0.2">
      <c r="A3293" s="17"/>
      <c r="B3293" s="18"/>
      <c r="C3293" s="18"/>
      <c r="D3293" s="18"/>
      <c r="E3293" s="18"/>
      <c r="F3293" s="18"/>
      <c r="G3293" s="18"/>
      <c r="H3293" s="18"/>
      <c r="I3293" s="17"/>
    </row>
    <row r="3294" spans="1:10" x14ac:dyDescent="0.2">
      <c r="H3294" s="4" t="s">
        <v>95</v>
      </c>
      <c r="I3294" s="13">
        <f>SUM(I3290:I3293)</f>
        <v>0</v>
      </c>
    </row>
    <row r="3298" spans="1:10" ht="15" x14ac:dyDescent="0.25">
      <c r="A3298" s="21" t="s">
        <v>1721</v>
      </c>
      <c r="B3298" s="22"/>
      <c r="C3298" s="22"/>
      <c r="D3298" s="22"/>
      <c r="E3298" s="22"/>
      <c r="F3298" s="22"/>
      <c r="G3298" s="22"/>
      <c r="H3298" s="22"/>
      <c r="I3298" s="22"/>
      <c r="J3298" s="22"/>
    </row>
    <row r="3299" spans="1:10" ht="15" x14ac:dyDescent="0.25">
      <c r="A3299" s="21" t="s">
        <v>1722</v>
      </c>
      <c r="B3299" s="22"/>
      <c r="C3299" s="22"/>
      <c r="D3299" s="22"/>
      <c r="E3299" s="22"/>
      <c r="F3299" s="22"/>
      <c r="G3299" s="22"/>
      <c r="H3299" s="22"/>
      <c r="I3299" s="22"/>
      <c r="J3299" s="22"/>
    </row>
    <row r="3301" spans="1:10" ht="15" x14ac:dyDescent="0.25">
      <c r="A3301" s="3" t="s">
        <v>2</v>
      </c>
      <c r="B3301" s="3" t="s">
        <v>3</v>
      </c>
      <c r="C3301" s="3" t="s">
        <v>4</v>
      </c>
      <c r="D3301" s="3" t="s">
        <v>5</v>
      </c>
      <c r="E3301" s="3" t="s">
        <v>6</v>
      </c>
      <c r="F3301" s="7" t="s">
        <v>7</v>
      </c>
      <c r="G3301" s="3" t="s">
        <v>8</v>
      </c>
      <c r="H3301" s="7" t="s">
        <v>9</v>
      </c>
      <c r="I3301" s="7" t="s">
        <v>10</v>
      </c>
      <c r="J3301" s="3" t="s">
        <v>11</v>
      </c>
    </row>
    <row r="3302" spans="1:10" ht="194.25" x14ac:dyDescent="0.2">
      <c r="A3302" s="2" t="s">
        <v>1723</v>
      </c>
      <c r="B3302" s="9">
        <v>1</v>
      </c>
      <c r="C3302" s="9">
        <v>1</v>
      </c>
      <c r="D3302" s="10" t="s">
        <v>13</v>
      </c>
      <c r="E3302" s="11" t="s">
        <v>1724</v>
      </c>
      <c r="F3302" s="12">
        <v>15</v>
      </c>
      <c r="G3302" s="10" t="s">
        <v>83</v>
      </c>
      <c r="H3302" s="13"/>
      <c r="I3302" s="13"/>
      <c r="J3302" s="10"/>
    </row>
    <row r="3303" spans="1:10" x14ac:dyDescent="0.2">
      <c r="A3303" s="2" t="s">
        <v>1723</v>
      </c>
      <c r="B3303" s="9">
        <v>1</v>
      </c>
      <c r="C3303" s="9">
        <v>1</v>
      </c>
      <c r="D3303" s="10" t="s">
        <v>16</v>
      </c>
      <c r="E3303" s="11" t="s">
        <v>1725</v>
      </c>
      <c r="F3303" s="12">
        <v>41</v>
      </c>
      <c r="G3303" s="10" t="s">
        <v>83</v>
      </c>
      <c r="H3303" s="13"/>
      <c r="I3303" s="13"/>
      <c r="J3303" s="10"/>
    </row>
    <row r="3304" spans="1:10" x14ac:dyDescent="0.2">
      <c r="A3304" s="2" t="s">
        <v>1723</v>
      </c>
      <c r="B3304" s="9">
        <v>1</v>
      </c>
      <c r="C3304" s="9">
        <v>1</v>
      </c>
      <c r="D3304" s="10" t="s">
        <v>18</v>
      </c>
      <c r="E3304" s="11" t="s">
        <v>1726</v>
      </c>
      <c r="F3304" s="12">
        <v>4</v>
      </c>
      <c r="G3304" s="10" t="s">
        <v>83</v>
      </c>
      <c r="H3304" s="13"/>
      <c r="I3304" s="13"/>
      <c r="J3304" s="10"/>
    </row>
    <row r="3305" spans="1:10" x14ac:dyDescent="0.2">
      <c r="A3305" s="2" t="s">
        <v>1723</v>
      </c>
      <c r="B3305" s="9">
        <v>1</v>
      </c>
      <c r="C3305" s="9">
        <v>1</v>
      </c>
      <c r="D3305" s="10" t="s">
        <v>20</v>
      </c>
      <c r="E3305" s="11" t="s">
        <v>1248</v>
      </c>
      <c r="F3305" s="12">
        <v>4</v>
      </c>
      <c r="G3305" s="10" t="s">
        <v>31</v>
      </c>
      <c r="H3305" s="13"/>
      <c r="I3305" s="13"/>
      <c r="J3305" s="10"/>
    </row>
    <row r="3306" spans="1:10" ht="44.25" x14ac:dyDescent="0.2">
      <c r="A3306" s="2" t="s">
        <v>1723</v>
      </c>
      <c r="B3306" s="9">
        <v>1</v>
      </c>
      <c r="C3306" s="9">
        <v>1</v>
      </c>
      <c r="D3306" s="10" t="s">
        <v>22</v>
      </c>
      <c r="E3306" s="11" t="s">
        <v>1249</v>
      </c>
      <c r="F3306" s="12">
        <v>54</v>
      </c>
      <c r="G3306" s="10" t="s">
        <v>83</v>
      </c>
      <c r="H3306" s="13"/>
      <c r="I3306" s="13"/>
      <c r="J3306" s="10"/>
    </row>
    <row r="3307" spans="1:10" ht="134.25" x14ac:dyDescent="0.2">
      <c r="A3307" s="2" t="s">
        <v>1723</v>
      </c>
      <c r="B3307" s="9">
        <v>1</v>
      </c>
      <c r="C3307" s="9">
        <v>1</v>
      </c>
      <c r="D3307" s="10" t="s">
        <v>24</v>
      </c>
      <c r="E3307" s="11" t="s">
        <v>1727</v>
      </c>
      <c r="F3307" s="12">
        <v>84</v>
      </c>
      <c r="G3307" s="10" t="s">
        <v>109</v>
      </c>
      <c r="H3307" s="13"/>
      <c r="I3307" s="13"/>
      <c r="J3307" s="10"/>
    </row>
    <row r="3308" spans="1:10" x14ac:dyDescent="0.2">
      <c r="A3308" s="1" t="s">
        <v>1728</v>
      </c>
      <c r="B3308" s="1"/>
      <c r="C3308" s="1"/>
      <c r="D3308" s="1"/>
      <c r="E3308" s="1"/>
      <c r="F3308" s="1"/>
      <c r="G3308" s="1"/>
      <c r="H3308" s="1" t="s">
        <v>67</v>
      </c>
      <c r="I3308" s="13">
        <f>I3302+I3303+I3304+I3305+I3306+I3307</f>
        <v>0</v>
      </c>
      <c r="J3308" s="1"/>
    </row>
    <row r="3311" spans="1:10" ht="15" x14ac:dyDescent="0.25">
      <c r="A3311" s="21" t="s">
        <v>1729</v>
      </c>
      <c r="B3311" s="22"/>
      <c r="C3311" s="22"/>
      <c r="D3311" s="22"/>
      <c r="E3311" s="22"/>
      <c r="F3311" s="22"/>
      <c r="G3311" s="22"/>
      <c r="H3311" s="22"/>
      <c r="I3311" s="22"/>
      <c r="J3311" s="22"/>
    </row>
    <row r="3312" spans="1:10" ht="15" x14ac:dyDescent="0.25">
      <c r="A3312" s="21" t="s">
        <v>1722</v>
      </c>
      <c r="B3312" s="22"/>
      <c r="C3312" s="22"/>
      <c r="D3312" s="22"/>
      <c r="E3312" s="22"/>
      <c r="F3312" s="22"/>
      <c r="G3312" s="22"/>
      <c r="H3312" s="22"/>
      <c r="I3312" s="22"/>
      <c r="J3312" s="22"/>
    </row>
    <row r="3314" spans="1:10" ht="15" x14ac:dyDescent="0.25">
      <c r="A3314" s="3" t="s">
        <v>2</v>
      </c>
      <c r="B3314" s="3" t="s">
        <v>3</v>
      </c>
      <c r="C3314" s="3" t="s">
        <v>4</v>
      </c>
      <c r="D3314" s="3" t="s">
        <v>5</v>
      </c>
      <c r="E3314" s="3" t="s">
        <v>6</v>
      </c>
      <c r="F3314" s="7" t="s">
        <v>7</v>
      </c>
      <c r="G3314" s="3" t="s">
        <v>8</v>
      </c>
      <c r="H3314" s="7" t="s">
        <v>9</v>
      </c>
      <c r="I3314" s="7" t="s">
        <v>10</v>
      </c>
      <c r="J3314" s="3" t="s">
        <v>11</v>
      </c>
    </row>
    <row r="3315" spans="1:10" ht="104.25" x14ac:dyDescent="0.2">
      <c r="A3315" s="2" t="s">
        <v>1723</v>
      </c>
      <c r="B3315" s="9">
        <v>1</v>
      </c>
      <c r="C3315" s="9">
        <v>2</v>
      </c>
      <c r="D3315" s="10" t="s">
        <v>13</v>
      </c>
      <c r="E3315" s="11" t="s">
        <v>1730</v>
      </c>
      <c r="F3315" s="12">
        <v>165</v>
      </c>
      <c r="G3315" s="10" t="s">
        <v>109</v>
      </c>
      <c r="H3315" s="13"/>
      <c r="I3315" s="13"/>
      <c r="J3315" s="10"/>
    </row>
    <row r="3316" spans="1:10" x14ac:dyDescent="0.2">
      <c r="A3316" s="1" t="s">
        <v>1731</v>
      </c>
      <c r="B3316" s="1"/>
      <c r="C3316" s="1"/>
      <c r="D3316" s="1"/>
      <c r="E3316" s="1"/>
      <c r="F3316" s="1"/>
      <c r="G3316" s="1"/>
      <c r="H3316" s="1" t="s">
        <v>67</v>
      </c>
      <c r="I3316" s="13">
        <f>I3315</f>
        <v>0</v>
      </c>
      <c r="J3316" s="1"/>
    </row>
    <row r="3324" spans="1:10" ht="15" x14ac:dyDescent="0.25">
      <c r="A3324" s="3" t="s">
        <v>89</v>
      </c>
      <c r="B3324" s="14"/>
      <c r="C3324" s="14"/>
      <c r="D3324" s="14"/>
      <c r="E3324" s="14"/>
      <c r="F3324" s="14"/>
      <c r="G3324" s="14"/>
      <c r="H3324" s="14"/>
      <c r="I3324" s="7" t="s">
        <v>90</v>
      </c>
    </row>
    <row r="3325" spans="1:10" x14ac:dyDescent="0.2">
      <c r="A3325" s="15" t="s">
        <v>1732</v>
      </c>
      <c r="I3325" s="16">
        <f>I3308</f>
        <v>0</v>
      </c>
    </row>
    <row r="3326" spans="1:10" x14ac:dyDescent="0.2">
      <c r="A3326" s="15" t="s">
        <v>1733</v>
      </c>
      <c r="I3326" s="16">
        <f>I3316</f>
        <v>0</v>
      </c>
    </row>
    <row r="3327" spans="1:10" x14ac:dyDescent="0.2">
      <c r="A3327" s="15"/>
      <c r="I3327" s="15"/>
    </row>
    <row r="3328" spans="1:10" x14ac:dyDescent="0.2">
      <c r="A3328" s="17"/>
      <c r="B3328" s="18"/>
      <c r="C3328" s="18"/>
      <c r="D3328" s="18"/>
      <c r="E3328" s="18"/>
      <c r="F3328" s="18"/>
      <c r="G3328" s="18"/>
      <c r="H3328" s="18"/>
      <c r="I3328" s="17"/>
    </row>
    <row r="3329" spans="1:10" x14ac:dyDescent="0.2">
      <c r="H3329" s="4" t="s">
        <v>95</v>
      </c>
      <c r="I3329" s="13">
        <f>SUM(I3325:I3328)</f>
        <v>0</v>
      </c>
    </row>
    <row r="3333" spans="1:10" ht="15" x14ac:dyDescent="0.25">
      <c r="A3333" s="21" t="s">
        <v>1734</v>
      </c>
      <c r="B3333" s="22"/>
      <c r="C3333" s="22"/>
      <c r="D3333" s="22"/>
      <c r="E3333" s="22"/>
      <c r="F3333" s="22"/>
      <c r="G3333" s="22"/>
      <c r="H3333" s="22"/>
      <c r="I3333" s="22"/>
      <c r="J3333" s="22"/>
    </row>
    <row r="3334" spans="1:10" ht="15" x14ac:dyDescent="0.25">
      <c r="A3334" s="21" t="s">
        <v>1735</v>
      </c>
      <c r="B3334" s="22"/>
      <c r="C3334" s="22"/>
      <c r="D3334" s="22"/>
      <c r="E3334" s="22"/>
      <c r="F3334" s="22"/>
      <c r="G3334" s="22"/>
      <c r="H3334" s="22"/>
      <c r="I3334" s="22"/>
      <c r="J3334" s="22"/>
    </row>
    <row r="3336" spans="1:10" ht="15" x14ac:dyDescent="0.25">
      <c r="A3336" s="3" t="s">
        <v>2</v>
      </c>
      <c r="B3336" s="3" t="s">
        <v>3</v>
      </c>
      <c r="C3336" s="3" t="s">
        <v>4</v>
      </c>
      <c r="D3336" s="3" t="s">
        <v>5</v>
      </c>
      <c r="E3336" s="3" t="s">
        <v>6</v>
      </c>
      <c r="F3336" s="7" t="s">
        <v>7</v>
      </c>
      <c r="G3336" s="3" t="s">
        <v>8</v>
      </c>
      <c r="H3336" s="7" t="s">
        <v>9</v>
      </c>
      <c r="I3336" s="7" t="s">
        <v>10</v>
      </c>
      <c r="J3336" s="3" t="s">
        <v>11</v>
      </c>
    </row>
    <row r="3337" spans="1:10" ht="164.25" x14ac:dyDescent="0.2">
      <c r="A3337" s="2" t="s">
        <v>1736</v>
      </c>
      <c r="B3337" s="9">
        <v>1</v>
      </c>
      <c r="C3337" s="9">
        <v>1</v>
      </c>
      <c r="D3337" s="10" t="s">
        <v>13</v>
      </c>
      <c r="E3337" s="11" t="s">
        <v>1152</v>
      </c>
      <c r="F3337" s="12">
        <v>2</v>
      </c>
      <c r="G3337" s="10" t="s">
        <v>83</v>
      </c>
      <c r="H3337" s="13"/>
      <c r="I3337" s="13"/>
      <c r="J3337" s="10"/>
    </row>
    <row r="3338" spans="1:10" x14ac:dyDescent="0.2">
      <c r="A3338" s="2" t="s">
        <v>1736</v>
      </c>
      <c r="B3338" s="9">
        <v>1</v>
      </c>
      <c r="C3338" s="9">
        <v>1</v>
      </c>
      <c r="D3338" s="10" t="s">
        <v>16</v>
      </c>
      <c r="E3338" s="11" t="s">
        <v>1161</v>
      </c>
      <c r="F3338" s="12">
        <v>7.0000000000000009</v>
      </c>
      <c r="G3338" s="10" t="s">
        <v>83</v>
      </c>
      <c r="H3338" s="13"/>
      <c r="I3338" s="13"/>
      <c r="J3338" s="10"/>
    </row>
    <row r="3339" spans="1:10" ht="89.25" x14ac:dyDescent="0.2">
      <c r="A3339" s="2" t="s">
        <v>1736</v>
      </c>
      <c r="B3339" s="9">
        <v>1</v>
      </c>
      <c r="C3339" s="9">
        <v>1</v>
      </c>
      <c r="D3339" s="10" t="s">
        <v>18</v>
      </c>
      <c r="E3339" s="11" t="s">
        <v>1162</v>
      </c>
      <c r="F3339" s="12">
        <v>7.0000000000000009</v>
      </c>
      <c r="G3339" s="10" t="s">
        <v>83</v>
      </c>
      <c r="H3339" s="13"/>
      <c r="I3339" s="13"/>
      <c r="J3339" s="10"/>
    </row>
    <row r="3340" spans="1:10" ht="59.25" x14ac:dyDescent="0.2">
      <c r="A3340" s="2" t="s">
        <v>1736</v>
      </c>
      <c r="B3340" s="9">
        <v>1</v>
      </c>
      <c r="C3340" s="9">
        <v>1</v>
      </c>
      <c r="D3340" s="10" t="s">
        <v>20</v>
      </c>
      <c r="E3340" s="11" t="s">
        <v>1737</v>
      </c>
      <c r="F3340" s="12">
        <v>2</v>
      </c>
      <c r="G3340" s="10" t="s">
        <v>83</v>
      </c>
      <c r="H3340" s="13"/>
      <c r="I3340" s="13"/>
      <c r="J3340" s="10"/>
    </row>
    <row r="3341" spans="1:10" ht="74.25" x14ac:dyDescent="0.2">
      <c r="A3341" s="2" t="s">
        <v>1736</v>
      </c>
      <c r="B3341" s="9">
        <v>1</v>
      </c>
      <c r="C3341" s="9">
        <v>1</v>
      </c>
      <c r="D3341" s="10" t="s">
        <v>22</v>
      </c>
      <c r="E3341" s="11" t="s">
        <v>1341</v>
      </c>
      <c r="F3341" s="12">
        <v>9</v>
      </c>
      <c r="G3341" s="10" t="s">
        <v>83</v>
      </c>
      <c r="H3341" s="13"/>
      <c r="I3341" s="13"/>
      <c r="J3341" s="10"/>
    </row>
    <row r="3342" spans="1:10" x14ac:dyDescent="0.2">
      <c r="A3342" s="2" t="s">
        <v>1736</v>
      </c>
      <c r="B3342" s="9">
        <v>1</v>
      </c>
      <c r="C3342" s="9">
        <v>1</v>
      </c>
      <c r="D3342" s="10" t="s">
        <v>24</v>
      </c>
      <c r="E3342" s="11" t="s">
        <v>1168</v>
      </c>
      <c r="F3342" s="12">
        <v>16</v>
      </c>
      <c r="G3342" s="10" t="s">
        <v>31</v>
      </c>
      <c r="H3342" s="13"/>
      <c r="I3342" s="13"/>
      <c r="J3342" s="10"/>
    </row>
    <row r="3343" spans="1:10" x14ac:dyDescent="0.2">
      <c r="A3343" s="2" t="s">
        <v>1736</v>
      </c>
      <c r="B3343" s="9">
        <v>1</v>
      </c>
      <c r="C3343" s="9">
        <v>1</v>
      </c>
      <c r="D3343" s="10" t="s">
        <v>27</v>
      </c>
      <c r="E3343" s="11" t="s">
        <v>1738</v>
      </c>
      <c r="F3343" s="12">
        <v>4</v>
      </c>
      <c r="G3343" s="10" t="s">
        <v>31</v>
      </c>
      <c r="H3343" s="13"/>
      <c r="I3343" s="13"/>
      <c r="J3343" s="10"/>
    </row>
    <row r="3344" spans="1:10" x14ac:dyDescent="0.2">
      <c r="A3344" s="1" t="s">
        <v>1739</v>
      </c>
      <c r="B3344" s="1"/>
      <c r="C3344" s="1"/>
      <c r="D3344" s="1"/>
      <c r="E3344" s="1"/>
      <c r="F3344" s="1"/>
      <c r="G3344" s="1"/>
      <c r="H3344" s="1" t="s">
        <v>67</v>
      </c>
      <c r="I3344" s="13">
        <f>I3337+I3338+I3339+I3340+I3341+I3342+I3343</f>
        <v>0</v>
      </c>
      <c r="J3344" s="1"/>
    </row>
    <row r="3347" spans="1:10" ht="15" x14ac:dyDescent="0.25">
      <c r="A3347" s="21" t="s">
        <v>1740</v>
      </c>
      <c r="B3347" s="22"/>
      <c r="C3347" s="22"/>
      <c r="D3347" s="22"/>
      <c r="E3347" s="22"/>
      <c r="F3347" s="22"/>
      <c r="G3347" s="22"/>
      <c r="H3347" s="22"/>
      <c r="I3347" s="22"/>
      <c r="J3347" s="22"/>
    </row>
    <row r="3348" spans="1:10" ht="15" x14ac:dyDescent="0.25">
      <c r="A3348" s="21" t="s">
        <v>1735</v>
      </c>
      <c r="B3348" s="22"/>
      <c r="C3348" s="22"/>
      <c r="D3348" s="22"/>
      <c r="E3348" s="22"/>
      <c r="F3348" s="22"/>
      <c r="G3348" s="22"/>
      <c r="H3348" s="22"/>
      <c r="I3348" s="22"/>
      <c r="J3348" s="22"/>
    </row>
    <row r="3350" spans="1:10" ht="15" x14ac:dyDescent="0.25">
      <c r="A3350" s="3" t="s">
        <v>2</v>
      </c>
      <c r="B3350" s="3" t="s">
        <v>3</v>
      </c>
      <c r="C3350" s="3" t="s">
        <v>4</v>
      </c>
      <c r="D3350" s="3" t="s">
        <v>5</v>
      </c>
      <c r="E3350" s="3" t="s">
        <v>6</v>
      </c>
      <c r="F3350" s="7" t="s">
        <v>7</v>
      </c>
      <c r="G3350" s="3" t="s">
        <v>8</v>
      </c>
      <c r="H3350" s="7" t="s">
        <v>9</v>
      </c>
      <c r="I3350" s="7" t="s">
        <v>10</v>
      </c>
      <c r="J3350" s="3" t="s">
        <v>11</v>
      </c>
    </row>
    <row r="3351" spans="1:10" ht="119.25" x14ac:dyDescent="0.2">
      <c r="A3351" s="2" t="s">
        <v>1736</v>
      </c>
      <c r="B3351" s="9">
        <v>1</v>
      </c>
      <c r="C3351" s="9">
        <v>2</v>
      </c>
      <c r="D3351" s="10" t="s">
        <v>13</v>
      </c>
      <c r="E3351" s="11" t="s">
        <v>1741</v>
      </c>
      <c r="F3351" s="12">
        <v>2</v>
      </c>
      <c r="G3351" s="10" t="s">
        <v>31</v>
      </c>
      <c r="H3351" s="13"/>
      <c r="I3351" s="13"/>
      <c r="J3351" s="10"/>
    </row>
    <row r="3352" spans="1:10" ht="74.25" x14ac:dyDescent="0.2">
      <c r="A3352" s="2" t="s">
        <v>1736</v>
      </c>
      <c r="B3352" s="9">
        <v>1</v>
      </c>
      <c r="C3352" s="9">
        <v>2</v>
      </c>
      <c r="D3352" s="10" t="s">
        <v>16</v>
      </c>
      <c r="E3352" s="11" t="s">
        <v>1742</v>
      </c>
      <c r="F3352" s="12">
        <v>2</v>
      </c>
      <c r="G3352" s="10" t="s">
        <v>31</v>
      </c>
      <c r="H3352" s="13"/>
      <c r="I3352" s="13"/>
      <c r="J3352" s="10"/>
    </row>
    <row r="3353" spans="1:10" ht="28.5" x14ac:dyDescent="0.2">
      <c r="A3353" s="2" t="s">
        <v>1736</v>
      </c>
      <c r="B3353" s="9">
        <v>1</v>
      </c>
      <c r="C3353" s="9">
        <v>2</v>
      </c>
      <c r="D3353" s="10" t="s">
        <v>18</v>
      </c>
      <c r="E3353" s="11" t="s">
        <v>1743</v>
      </c>
      <c r="F3353" s="12">
        <v>1</v>
      </c>
      <c r="G3353" s="10" t="s">
        <v>15</v>
      </c>
      <c r="H3353" s="13"/>
      <c r="I3353" s="13"/>
      <c r="J3353" s="10"/>
    </row>
    <row r="3354" spans="1:10" ht="74.25" x14ac:dyDescent="0.2">
      <c r="A3354" s="2" t="s">
        <v>1736</v>
      </c>
      <c r="B3354" s="9">
        <v>1</v>
      </c>
      <c r="C3354" s="9">
        <v>2</v>
      </c>
      <c r="D3354" s="10" t="s">
        <v>20</v>
      </c>
      <c r="E3354" s="11" t="s">
        <v>1744</v>
      </c>
      <c r="F3354" s="12">
        <v>7.0000000000000009</v>
      </c>
      <c r="G3354" s="10" t="s">
        <v>83</v>
      </c>
      <c r="H3354" s="13"/>
      <c r="I3354" s="13"/>
      <c r="J3354" s="10"/>
    </row>
    <row r="3355" spans="1:10" ht="74.25" x14ac:dyDescent="0.2">
      <c r="A3355" s="2" t="s">
        <v>1736</v>
      </c>
      <c r="B3355" s="9">
        <v>1</v>
      </c>
      <c r="C3355" s="9">
        <v>2</v>
      </c>
      <c r="D3355" s="10" t="s">
        <v>22</v>
      </c>
      <c r="E3355" s="11" t="s">
        <v>1199</v>
      </c>
      <c r="F3355" s="12">
        <v>1</v>
      </c>
      <c r="G3355" s="10" t="s">
        <v>15</v>
      </c>
      <c r="H3355" s="13"/>
      <c r="I3355" s="13"/>
      <c r="J3355" s="10"/>
    </row>
    <row r="3356" spans="1:10" x14ac:dyDescent="0.2">
      <c r="A3356" s="2" t="s">
        <v>1736</v>
      </c>
      <c r="B3356" s="9">
        <v>1</v>
      </c>
      <c r="C3356" s="9">
        <v>2</v>
      </c>
      <c r="D3356" s="10" t="s">
        <v>24</v>
      </c>
      <c r="E3356" s="11" t="s">
        <v>1200</v>
      </c>
      <c r="F3356" s="12">
        <v>1</v>
      </c>
      <c r="G3356" s="10" t="s">
        <v>15</v>
      </c>
      <c r="H3356" s="13"/>
      <c r="I3356" s="13"/>
      <c r="J3356" s="10"/>
    </row>
    <row r="3357" spans="1:10" ht="44.25" x14ac:dyDescent="0.2">
      <c r="A3357" s="2" t="s">
        <v>1736</v>
      </c>
      <c r="B3357" s="9">
        <v>1</v>
      </c>
      <c r="C3357" s="9">
        <v>2</v>
      </c>
      <c r="D3357" s="10" t="s">
        <v>27</v>
      </c>
      <c r="E3357" s="11" t="s">
        <v>1347</v>
      </c>
      <c r="F3357" s="12">
        <v>1</v>
      </c>
      <c r="G3357" s="10" t="s">
        <v>15</v>
      </c>
      <c r="H3357" s="13"/>
      <c r="I3357" s="13"/>
      <c r="J3357" s="10"/>
    </row>
    <row r="3358" spans="1:10" ht="74.25" x14ac:dyDescent="0.2">
      <c r="A3358" s="2" t="s">
        <v>1736</v>
      </c>
      <c r="B3358" s="9">
        <v>1</v>
      </c>
      <c r="C3358" s="9">
        <v>2</v>
      </c>
      <c r="D3358" s="10" t="s">
        <v>29</v>
      </c>
      <c r="E3358" s="11" t="s">
        <v>1207</v>
      </c>
      <c r="F3358" s="12">
        <v>1</v>
      </c>
      <c r="G3358" s="10" t="s">
        <v>15</v>
      </c>
      <c r="H3358" s="13"/>
      <c r="I3358" s="13"/>
      <c r="J3358" s="10"/>
    </row>
    <row r="3359" spans="1:10" x14ac:dyDescent="0.2">
      <c r="A3359" s="1" t="s">
        <v>1745</v>
      </c>
      <c r="B3359" s="1"/>
      <c r="C3359" s="1"/>
      <c r="D3359" s="1"/>
      <c r="E3359" s="1"/>
      <c r="F3359" s="1"/>
      <c r="G3359" s="1"/>
      <c r="H3359" s="1" t="s">
        <v>67</v>
      </c>
      <c r="I3359" s="13">
        <f>I3351+I3352+I3353+I3354+I3355+I3356+I3357+I3358</f>
        <v>0</v>
      </c>
      <c r="J3359" s="1"/>
    </row>
    <row r="3367" spans="1:10" ht="15" x14ac:dyDescent="0.25">
      <c r="A3367" s="3" t="s">
        <v>89</v>
      </c>
      <c r="B3367" s="14"/>
      <c r="C3367" s="14"/>
      <c r="D3367" s="14"/>
      <c r="E3367" s="14"/>
      <c r="F3367" s="14"/>
      <c r="G3367" s="14"/>
      <c r="H3367" s="14"/>
      <c r="I3367" s="7" t="s">
        <v>90</v>
      </c>
    </row>
    <row r="3368" spans="1:10" x14ac:dyDescent="0.2">
      <c r="A3368" s="15" t="s">
        <v>1746</v>
      </c>
      <c r="I3368" s="16">
        <f>I3344</f>
        <v>0</v>
      </c>
    </row>
    <row r="3369" spans="1:10" x14ac:dyDescent="0.2">
      <c r="A3369" s="15" t="s">
        <v>1747</v>
      </c>
      <c r="I3369" s="16">
        <f>I3359</f>
        <v>0</v>
      </c>
    </row>
    <row r="3370" spans="1:10" x14ac:dyDescent="0.2">
      <c r="A3370" s="15"/>
      <c r="I3370" s="15"/>
    </row>
    <row r="3371" spans="1:10" x14ac:dyDescent="0.2">
      <c r="A3371" s="17"/>
      <c r="B3371" s="18"/>
      <c r="C3371" s="18"/>
      <c r="D3371" s="18"/>
      <c r="E3371" s="18"/>
      <c r="F3371" s="18"/>
      <c r="G3371" s="18"/>
      <c r="H3371" s="18"/>
      <c r="I3371" s="17"/>
    </row>
    <row r="3372" spans="1:10" x14ac:dyDescent="0.2">
      <c r="H3372" s="4" t="s">
        <v>95</v>
      </c>
      <c r="I3372" s="13">
        <f>SUM(I3368:I3371)</f>
        <v>0</v>
      </c>
    </row>
    <row r="3376" spans="1:10" ht="15" x14ac:dyDescent="0.25">
      <c r="A3376" s="21" t="s">
        <v>1748</v>
      </c>
      <c r="B3376" s="22"/>
      <c r="C3376" s="22"/>
      <c r="D3376" s="22"/>
      <c r="E3376" s="22"/>
      <c r="F3376" s="22"/>
      <c r="G3376" s="22"/>
      <c r="H3376" s="22"/>
      <c r="I3376" s="22"/>
      <c r="J3376" s="22"/>
    </row>
    <row r="3377" spans="1:10" ht="15" x14ac:dyDescent="0.25">
      <c r="A3377" s="21" t="s">
        <v>1749</v>
      </c>
      <c r="B3377" s="22"/>
      <c r="C3377" s="22"/>
      <c r="D3377" s="22"/>
      <c r="E3377" s="22"/>
      <c r="F3377" s="22"/>
      <c r="G3377" s="22"/>
      <c r="H3377" s="22"/>
      <c r="I3377" s="22"/>
      <c r="J3377" s="22"/>
    </row>
    <row r="3379" spans="1:10" ht="15" x14ac:dyDescent="0.25">
      <c r="A3379" s="3" t="s">
        <v>2</v>
      </c>
      <c r="B3379" s="3" t="s">
        <v>3</v>
      </c>
      <c r="C3379" s="3" t="s">
        <v>4</v>
      </c>
      <c r="D3379" s="3" t="s">
        <v>5</v>
      </c>
      <c r="E3379" s="3" t="s">
        <v>6</v>
      </c>
      <c r="F3379" s="7" t="s">
        <v>7</v>
      </c>
      <c r="G3379" s="3" t="s">
        <v>8</v>
      </c>
      <c r="H3379" s="7" t="s">
        <v>9</v>
      </c>
      <c r="I3379" s="7" t="s">
        <v>10</v>
      </c>
      <c r="J3379" s="3" t="s">
        <v>11</v>
      </c>
    </row>
    <row r="3380" spans="1:10" x14ac:dyDescent="0.2">
      <c r="A3380" s="2" t="s">
        <v>1750</v>
      </c>
      <c r="B3380" s="9">
        <v>1</v>
      </c>
      <c r="C3380" s="9">
        <v>1</v>
      </c>
      <c r="D3380" s="10" t="s">
        <v>13</v>
      </c>
      <c r="E3380" s="11" t="s">
        <v>1304</v>
      </c>
      <c r="F3380" s="12">
        <v>0</v>
      </c>
      <c r="G3380" s="10"/>
      <c r="H3380" s="13"/>
      <c r="I3380" s="13"/>
      <c r="J3380" s="10"/>
    </row>
    <row r="3381" spans="1:10" x14ac:dyDescent="0.2">
      <c r="A3381" s="1" t="s">
        <v>1751</v>
      </c>
      <c r="B3381" s="1"/>
      <c r="C3381" s="1"/>
      <c r="D3381" s="1"/>
      <c r="E3381" s="1"/>
      <c r="F3381" s="1"/>
      <c r="G3381" s="1"/>
      <c r="H3381" s="1" t="s">
        <v>67</v>
      </c>
      <c r="I3381" s="13">
        <f>I3380</f>
        <v>0</v>
      </c>
      <c r="J3381" s="1"/>
    </row>
    <row r="3389" spans="1:10" ht="15" x14ac:dyDescent="0.25">
      <c r="A3389" s="3" t="s">
        <v>89</v>
      </c>
      <c r="B3389" s="14"/>
      <c r="C3389" s="14"/>
      <c r="D3389" s="14"/>
      <c r="E3389" s="14"/>
      <c r="F3389" s="14"/>
      <c r="G3389" s="14"/>
      <c r="H3389" s="14"/>
      <c r="I3389" s="7" t="s">
        <v>90</v>
      </c>
    </row>
    <row r="3390" spans="1:10" x14ac:dyDescent="0.2">
      <c r="A3390" s="15" t="s">
        <v>1752</v>
      </c>
      <c r="I3390" s="16">
        <f>I3381</f>
        <v>0</v>
      </c>
    </row>
    <row r="3391" spans="1:10" x14ac:dyDescent="0.2">
      <c r="A3391" s="15"/>
      <c r="I3391" s="15"/>
    </row>
    <row r="3392" spans="1:10" x14ac:dyDescent="0.2">
      <c r="A3392" s="17"/>
      <c r="B3392" s="18"/>
      <c r="C3392" s="18"/>
      <c r="D3392" s="18"/>
      <c r="E3392" s="18"/>
      <c r="F3392" s="18"/>
      <c r="G3392" s="18"/>
      <c r="H3392" s="18"/>
      <c r="I3392" s="17"/>
    </row>
    <row r="3393" spans="1:10" x14ac:dyDescent="0.2">
      <c r="H3393" s="4" t="s">
        <v>95</v>
      </c>
      <c r="I3393" s="13">
        <f>SUM(I3390:I3392)</f>
        <v>0</v>
      </c>
    </row>
    <row r="3397" spans="1:10" ht="15" x14ac:dyDescent="0.25">
      <c r="A3397" s="21" t="s">
        <v>1753</v>
      </c>
      <c r="B3397" s="22"/>
      <c r="C3397" s="22"/>
      <c r="D3397" s="22"/>
      <c r="E3397" s="22"/>
      <c r="F3397" s="22"/>
      <c r="G3397" s="22"/>
      <c r="H3397" s="22"/>
      <c r="I3397" s="22"/>
      <c r="J3397" s="22"/>
    </row>
    <row r="3398" spans="1:10" ht="15" x14ac:dyDescent="0.25">
      <c r="A3398" s="21" t="s">
        <v>1754</v>
      </c>
      <c r="B3398" s="22"/>
      <c r="C3398" s="22"/>
      <c r="D3398" s="22"/>
      <c r="E3398" s="22"/>
      <c r="F3398" s="22"/>
      <c r="G3398" s="22"/>
      <c r="H3398" s="22"/>
      <c r="I3398" s="22"/>
      <c r="J3398" s="22"/>
    </row>
    <row r="3400" spans="1:10" ht="15" x14ac:dyDescent="0.25">
      <c r="A3400" s="3" t="s">
        <v>2</v>
      </c>
      <c r="B3400" s="3" t="s">
        <v>3</v>
      </c>
      <c r="C3400" s="3" t="s">
        <v>4</v>
      </c>
      <c r="D3400" s="3" t="s">
        <v>5</v>
      </c>
      <c r="E3400" s="3" t="s">
        <v>6</v>
      </c>
      <c r="F3400" s="7" t="s">
        <v>7</v>
      </c>
      <c r="G3400" s="3" t="s">
        <v>8</v>
      </c>
      <c r="H3400" s="7" t="s">
        <v>9</v>
      </c>
      <c r="I3400" s="7" t="s">
        <v>10</v>
      </c>
      <c r="J3400" s="3" t="s">
        <v>11</v>
      </c>
    </row>
    <row r="3401" spans="1:10" ht="164.25" x14ac:dyDescent="0.2">
      <c r="A3401" s="2" t="s">
        <v>1755</v>
      </c>
      <c r="B3401" s="9">
        <v>1</v>
      </c>
      <c r="C3401" s="9">
        <v>1</v>
      </c>
      <c r="D3401" s="10" t="s">
        <v>13</v>
      </c>
      <c r="E3401" s="11" t="s">
        <v>1710</v>
      </c>
      <c r="F3401" s="12">
        <v>2</v>
      </c>
      <c r="G3401" s="10" t="s">
        <v>31</v>
      </c>
      <c r="H3401" s="13"/>
      <c r="I3401" s="13"/>
      <c r="J3401" s="10"/>
    </row>
    <row r="3402" spans="1:10" ht="59.25" x14ac:dyDescent="0.2">
      <c r="A3402" s="2" t="s">
        <v>1755</v>
      </c>
      <c r="B3402" s="9">
        <v>1</v>
      </c>
      <c r="C3402" s="9">
        <v>1</v>
      </c>
      <c r="D3402" s="10" t="s">
        <v>16</v>
      </c>
      <c r="E3402" s="11" t="s">
        <v>70</v>
      </c>
      <c r="F3402" s="12">
        <v>3</v>
      </c>
      <c r="G3402" s="10" t="s">
        <v>31</v>
      </c>
      <c r="H3402" s="13"/>
      <c r="I3402" s="13"/>
      <c r="J3402" s="10"/>
    </row>
    <row r="3403" spans="1:10" ht="104.25" x14ac:dyDescent="0.2">
      <c r="A3403" s="2" t="s">
        <v>1755</v>
      </c>
      <c r="B3403" s="9">
        <v>1</v>
      </c>
      <c r="C3403" s="9">
        <v>1</v>
      </c>
      <c r="D3403" s="10" t="s">
        <v>18</v>
      </c>
      <c r="E3403" s="11" t="s">
        <v>1711</v>
      </c>
      <c r="F3403" s="12">
        <v>1</v>
      </c>
      <c r="G3403" s="10" t="s">
        <v>31</v>
      </c>
      <c r="H3403" s="13"/>
      <c r="I3403" s="6"/>
      <c r="J3403" s="10"/>
    </row>
    <row r="3404" spans="1:10" ht="104.25" x14ac:dyDescent="0.2">
      <c r="A3404" s="2" t="s">
        <v>1755</v>
      </c>
      <c r="B3404" s="9">
        <v>1</v>
      </c>
      <c r="C3404" s="9">
        <v>1</v>
      </c>
      <c r="D3404" s="10" t="s">
        <v>20</v>
      </c>
      <c r="E3404" s="11" t="s">
        <v>1756</v>
      </c>
      <c r="F3404" s="12">
        <v>1</v>
      </c>
      <c r="G3404" s="10" t="s">
        <v>31</v>
      </c>
      <c r="H3404" s="13"/>
      <c r="I3404" s="6"/>
      <c r="J3404" s="10"/>
    </row>
    <row r="3405" spans="1:10" ht="134.25" x14ac:dyDescent="0.2">
      <c r="A3405" s="2" t="s">
        <v>1755</v>
      </c>
      <c r="B3405" s="9">
        <v>1</v>
      </c>
      <c r="C3405" s="9">
        <v>1</v>
      </c>
      <c r="D3405" s="10" t="s">
        <v>22</v>
      </c>
      <c r="E3405" s="11" t="s">
        <v>1757</v>
      </c>
      <c r="F3405" s="12">
        <v>1</v>
      </c>
      <c r="G3405" s="10" t="s">
        <v>31</v>
      </c>
      <c r="H3405" s="13"/>
      <c r="I3405" s="13"/>
      <c r="J3405" s="10"/>
    </row>
    <row r="3406" spans="1:10" x14ac:dyDescent="0.2">
      <c r="A3406" s="1" t="s">
        <v>1758</v>
      </c>
      <c r="B3406" s="1"/>
      <c r="C3406" s="1"/>
      <c r="D3406" s="1"/>
      <c r="E3406" s="1"/>
      <c r="F3406" s="1"/>
      <c r="G3406" s="1"/>
      <c r="H3406" s="1" t="s">
        <v>67</v>
      </c>
      <c r="I3406" s="13">
        <f>I3401+I3402+I3405</f>
        <v>0</v>
      </c>
      <c r="J3406" s="1"/>
    </row>
    <row r="3409" spans="1:10" ht="15" x14ac:dyDescent="0.25">
      <c r="A3409" s="21" t="s">
        <v>1759</v>
      </c>
      <c r="B3409" s="22"/>
      <c r="C3409" s="22"/>
      <c r="D3409" s="22"/>
      <c r="E3409" s="22"/>
      <c r="F3409" s="22"/>
      <c r="G3409" s="22"/>
      <c r="H3409" s="22"/>
      <c r="I3409" s="22"/>
      <c r="J3409" s="22"/>
    </row>
    <row r="3410" spans="1:10" ht="15" x14ac:dyDescent="0.25">
      <c r="A3410" s="21" t="s">
        <v>1754</v>
      </c>
      <c r="B3410" s="22"/>
      <c r="C3410" s="22"/>
      <c r="D3410" s="22"/>
      <c r="E3410" s="22"/>
      <c r="F3410" s="22"/>
      <c r="G3410" s="22"/>
      <c r="H3410" s="22"/>
      <c r="I3410" s="22"/>
      <c r="J3410" s="22"/>
    </row>
    <row r="3412" spans="1:10" ht="15" x14ac:dyDescent="0.25">
      <c r="A3412" s="3" t="s">
        <v>2</v>
      </c>
      <c r="B3412" s="3" t="s">
        <v>3</v>
      </c>
      <c r="C3412" s="3" t="s">
        <v>4</v>
      </c>
      <c r="D3412" s="3" t="s">
        <v>5</v>
      </c>
      <c r="E3412" s="3" t="s">
        <v>6</v>
      </c>
      <c r="F3412" s="7" t="s">
        <v>7</v>
      </c>
      <c r="G3412" s="3" t="s">
        <v>8</v>
      </c>
      <c r="H3412" s="7" t="s">
        <v>9</v>
      </c>
      <c r="I3412" s="7" t="s">
        <v>10</v>
      </c>
      <c r="J3412" s="3" t="s">
        <v>11</v>
      </c>
    </row>
    <row r="3413" spans="1:10" ht="104.25" x14ac:dyDescent="0.2">
      <c r="A3413" s="2" t="s">
        <v>1755</v>
      </c>
      <c r="B3413" s="9">
        <v>1</v>
      </c>
      <c r="C3413" s="9">
        <v>2</v>
      </c>
      <c r="D3413" s="10" t="s">
        <v>13</v>
      </c>
      <c r="E3413" s="11" t="s">
        <v>1715</v>
      </c>
      <c r="F3413" s="12">
        <v>6</v>
      </c>
      <c r="G3413" s="10" t="s">
        <v>31</v>
      </c>
      <c r="H3413" s="13"/>
      <c r="I3413" s="13"/>
      <c r="J3413" s="10"/>
    </row>
    <row r="3414" spans="1:10" ht="44.25" x14ac:dyDescent="0.2">
      <c r="A3414" s="2" t="s">
        <v>1755</v>
      </c>
      <c r="B3414" s="9">
        <v>1</v>
      </c>
      <c r="C3414" s="9">
        <v>2</v>
      </c>
      <c r="D3414" s="10" t="s">
        <v>16</v>
      </c>
      <c r="E3414" s="11" t="s">
        <v>77</v>
      </c>
      <c r="F3414" s="12">
        <v>2</v>
      </c>
      <c r="G3414" s="10" t="s">
        <v>31</v>
      </c>
      <c r="H3414" s="13"/>
      <c r="I3414" s="13"/>
      <c r="J3414" s="10"/>
    </row>
    <row r="3415" spans="1:10" ht="134.25" x14ac:dyDescent="0.2">
      <c r="A3415" s="2" t="s">
        <v>1755</v>
      </c>
      <c r="B3415" s="9">
        <v>1</v>
      </c>
      <c r="C3415" s="9">
        <v>2</v>
      </c>
      <c r="D3415" s="10" t="s">
        <v>18</v>
      </c>
      <c r="E3415" s="11" t="s">
        <v>1716</v>
      </c>
      <c r="F3415" s="12">
        <v>254.99999999999997</v>
      </c>
      <c r="G3415" s="10" t="s">
        <v>109</v>
      </c>
      <c r="H3415" s="13"/>
      <c r="I3415" s="6"/>
      <c r="J3415" s="10"/>
    </row>
    <row r="3416" spans="1:10" ht="74.25" x14ac:dyDescent="0.2">
      <c r="A3416" s="2" t="s">
        <v>1755</v>
      </c>
      <c r="B3416" s="9">
        <v>1</v>
      </c>
      <c r="C3416" s="9">
        <v>2</v>
      </c>
      <c r="D3416" s="10" t="s">
        <v>20</v>
      </c>
      <c r="E3416" s="11" t="s">
        <v>1760</v>
      </c>
      <c r="F3416" s="12">
        <v>12</v>
      </c>
      <c r="G3416" s="10" t="s">
        <v>79</v>
      </c>
      <c r="H3416" s="13"/>
      <c r="I3416" s="13"/>
      <c r="J3416" s="10"/>
    </row>
    <row r="3417" spans="1:10" ht="74.25" x14ac:dyDescent="0.2">
      <c r="A3417" s="2" t="s">
        <v>1755</v>
      </c>
      <c r="B3417" s="9">
        <v>1</v>
      </c>
      <c r="C3417" s="9">
        <v>2</v>
      </c>
      <c r="D3417" s="10" t="s">
        <v>27</v>
      </c>
      <c r="E3417" s="11" t="s">
        <v>1761</v>
      </c>
      <c r="F3417" s="12">
        <v>87</v>
      </c>
      <c r="G3417" s="10" t="s">
        <v>109</v>
      </c>
      <c r="H3417" s="13"/>
      <c r="I3417" s="13"/>
      <c r="J3417" s="10"/>
    </row>
    <row r="3418" spans="1:10" x14ac:dyDescent="0.2">
      <c r="A3418" s="1" t="s">
        <v>1762</v>
      </c>
      <c r="B3418" s="1"/>
      <c r="C3418" s="1"/>
      <c r="D3418" s="1"/>
      <c r="E3418" s="1"/>
      <c r="F3418" s="1"/>
      <c r="G3418" s="1"/>
      <c r="H3418" s="1" t="s">
        <v>67</v>
      </c>
      <c r="I3418" s="13">
        <f>I3413+I3414+I3416+I3417</f>
        <v>0</v>
      </c>
      <c r="J3418" s="1"/>
    </row>
    <row r="3421" spans="1:10" ht="15" x14ac:dyDescent="0.25">
      <c r="A3421" s="21" t="s">
        <v>1763</v>
      </c>
      <c r="B3421" s="22"/>
      <c r="C3421" s="22"/>
      <c r="D3421" s="22"/>
      <c r="E3421" s="22"/>
      <c r="F3421" s="22"/>
      <c r="G3421" s="22"/>
      <c r="H3421" s="22"/>
      <c r="I3421" s="22"/>
      <c r="J3421" s="22"/>
    </row>
    <row r="3422" spans="1:10" ht="15" x14ac:dyDescent="0.25">
      <c r="A3422" s="21" t="s">
        <v>1754</v>
      </c>
      <c r="B3422" s="22"/>
      <c r="C3422" s="22"/>
      <c r="D3422" s="22"/>
      <c r="E3422" s="22"/>
      <c r="F3422" s="22"/>
      <c r="G3422" s="22"/>
      <c r="H3422" s="22"/>
      <c r="I3422" s="22"/>
      <c r="J3422" s="22"/>
    </row>
    <row r="3424" spans="1:10" ht="15" x14ac:dyDescent="0.25">
      <c r="A3424" s="3" t="s">
        <v>2</v>
      </c>
      <c r="B3424" s="3" t="s">
        <v>3</v>
      </c>
      <c r="C3424" s="3" t="s">
        <v>4</v>
      </c>
      <c r="D3424" s="3" t="s">
        <v>5</v>
      </c>
      <c r="E3424" s="3" t="s">
        <v>6</v>
      </c>
      <c r="F3424" s="7" t="s">
        <v>7</v>
      </c>
      <c r="G3424" s="3" t="s">
        <v>8</v>
      </c>
      <c r="H3424" s="7" t="s">
        <v>9</v>
      </c>
      <c r="I3424" s="7" t="s">
        <v>10</v>
      </c>
      <c r="J3424" s="3" t="s">
        <v>11</v>
      </c>
    </row>
    <row r="3425" spans="1:10" ht="89.25" x14ac:dyDescent="0.2">
      <c r="A3425" s="2" t="s">
        <v>1755</v>
      </c>
      <c r="B3425" s="9">
        <v>1</v>
      </c>
      <c r="C3425" s="9">
        <v>3</v>
      </c>
      <c r="D3425" s="10" t="s">
        <v>13</v>
      </c>
      <c r="E3425" s="11" t="s">
        <v>1717</v>
      </c>
      <c r="F3425" s="12">
        <v>43</v>
      </c>
      <c r="G3425" s="10" t="s">
        <v>83</v>
      </c>
      <c r="H3425" s="13"/>
      <c r="I3425" s="13"/>
      <c r="J3425" s="10"/>
    </row>
    <row r="3426" spans="1:10" ht="74.25" x14ac:dyDescent="0.2">
      <c r="A3426" s="2" t="s">
        <v>1755</v>
      </c>
      <c r="B3426" s="9">
        <v>1</v>
      </c>
      <c r="C3426" s="9">
        <v>3</v>
      </c>
      <c r="D3426" s="10" t="s">
        <v>16</v>
      </c>
      <c r="E3426" s="11" t="s">
        <v>85</v>
      </c>
      <c r="F3426" s="12">
        <v>1</v>
      </c>
      <c r="G3426" s="10" t="s">
        <v>15</v>
      </c>
      <c r="H3426" s="13"/>
      <c r="I3426" s="6"/>
      <c r="J3426" s="10"/>
    </row>
    <row r="3427" spans="1:10" x14ac:dyDescent="0.2">
      <c r="A3427" s="2" t="s">
        <v>1755</v>
      </c>
      <c r="B3427" s="9">
        <v>1</v>
      </c>
      <c r="C3427" s="9">
        <v>3</v>
      </c>
      <c r="D3427" s="10" t="s">
        <v>18</v>
      </c>
      <c r="E3427" s="11" t="s">
        <v>86</v>
      </c>
      <c r="F3427" s="12">
        <v>1</v>
      </c>
      <c r="G3427" s="10" t="s">
        <v>15</v>
      </c>
      <c r="H3427" s="13"/>
      <c r="I3427" s="6"/>
      <c r="J3427" s="10"/>
    </row>
    <row r="3428" spans="1:10" ht="44.25" x14ac:dyDescent="0.2">
      <c r="A3428" s="2" t="s">
        <v>1755</v>
      </c>
      <c r="B3428" s="9">
        <v>1</v>
      </c>
      <c r="C3428" s="9">
        <v>3</v>
      </c>
      <c r="D3428" s="10" t="s">
        <v>20</v>
      </c>
      <c r="E3428" s="11" t="s">
        <v>87</v>
      </c>
      <c r="F3428" s="12">
        <v>12</v>
      </c>
      <c r="G3428" s="10" t="s">
        <v>79</v>
      </c>
      <c r="H3428" s="13"/>
      <c r="I3428" s="13"/>
      <c r="J3428" s="10"/>
    </row>
    <row r="3429" spans="1:10" ht="74.25" x14ac:dyDescent="0.2">
      <c r="A3429" s="2" t="s">
        <v>1755</v>
      </c>
      <c r="B3429" s="9">
        <v>1</v>
      </c>
      <c r="C3429" s="9">
        <v>3</v>
      </c>
      <c r="D3429" s="10" t="s">
        <v>22</v>
      </c>
      <c r="E3429" s="11" t="s">
        <v>1225</v>
      </c>
      <c r="F3429" s="12">
        <v>87</v>
      </c>
      <c r="G3429" s="10" t="s">
        <v>109</v>
      </c>
      <c r="H3429" s="13"/>
      <c r="I3429" s="13"/>
      <c r="J3429" s="10"/>
    </row>
    <row r="3430" spans="1:10" x14ac:dyDescent="0.2">
      <c r="A3430" s="1" t="s">
        <v>1764</v>
      </c>
      <c r="B3430" s="1"/>
      <c r="C3430" s="1"/>
      <c r="D3430" s="1"/>
      <c r="E3430" s="1"/>
      <c r="F3430" s="1"/>
      <c r="G3430" s="1"/>
      <c r="H3430" s="1" t="s">
        <v>67</v>
      </c>
      <c r="I3430" s="13">
        <f>I3425+I3428+I3429</f>
        <v>0</v>
      </c>
      <c r="J3430" s="1"/>
    </row>
    <row r="3438" spans="1:10" ht="15" x14ac:dyDescent="0.25">
      <c r="A3438" s="3" t="s">
        <v>89</v>
      </c>
      <c r="B3438" s="14"/>
      <c r="C3438" s="14"/>
      <c r="D3438" s="14"/>
      <c r="E3438" s="14"/>
      <c r="F3438" s="14"/>
      <c r="G3438" s="14"/>
      <c r="H3438" s="14"/>
      <c r="I3438" s="7" t="s">
        <v>90</v>
      </c>
    </row>
    <row r="3439" spans="1:10" x14ac:dyDescent="0.2">
      <c r="A3439" s="15" t="s">
        <v>1765</v>
      </c>
      <c r="I3439" s="16">
        <f>I3406</f>
        <v>0</v>
      </c>
    </row>
    <row r="3440" spans="1:10" x14ac:dyDescent="0.2">
      <c r="A3440" s="15" t="s">
        <v>1766</v>
      </c>
      <c r="I3440" s="16">
        <f>I3418</f>
        <v>0</v>
      </c>
    </row>
    <row r="3441" spans="1:10" x14ac:dyDescent="0.2">
      <c r="A3441" s="15" t="s">
        <v>1767</v>
      </c>
      <c r="I3441" s="16">
        <f>I3430</f>
        <v>0</v>
      </c>
    </row>
    <row r="3442" spans="1:10" x14ac:dyDescent="0.2">
      <c r="A3442" s="15"/>
      <c r="I3442" s="15"/>
    </row>
    <row r="3443" spans="1:10" x14ac:dyDescent="0.2">
      <c r="A3443" s="17"/>
      <c r="B3443" s="18"/>
      <c r="C3443" s="18"/>
      <c r="D3443" s="18"/>
      <c r="E3443" s="18"/>
      <c r="F3443" s="18"/>
      <c r="G3443" s="18"/>
      <c r="H3443" s="18"/>
      <c r="I3443" s="17"/>
    </row>
    <row r="3444" spans="1:10" x14ac:dyDescent="0.2">
      <c r="H3444" s="4" t="s">
        <v>95</v>
      </c>
      <c r="I3444" s="13">
        <f>SUM(I3439:I3443)</f>
        <v>0</v>
      </c>
    </row>
    <row r="3448" spans="1:10" ht="15" x14ac:dyDescent="0.25">
      <c r="A3448" s="21" t="s">
        <v>1768</v>
      </c>
      <c r="B3448" s="22"/>
      <c r="C3448" s="22"/>
      <c r="D3448" s="22"/>
      <c r="E3448" s="22"/>
      <c r="F3448" s="22"/>
      <c r="G3448" s="22"/>
      <c r="H3448" s="22"/>
      <c r="I3448" s="22"/>
      <c r="J3448" s="22"/>
    </row>
    <row r="3449" spans="1:10" ht="15" x14ac:dyDescent="0.25">
      <c r="A3449" s="21" t="s">
        <v>1769</v>
      </c>
      <c r="B3449" s="22"/>
      <c r="C3449" s="22"/>
      <c r="D3449" s="22"/>
      <c r="E3449" s="22"/>
      <c r="F3449" s="22"/>
      <c r="G3449" s="22"/>
      <c r="H3449" s="22"/>
      <c r="I3449" s="22"/>
      <c r="J3449" s="22"/>
    </row>
    <row r="3451" spans="1:10" ht="15" x14ac:dyDescent="0.25">
      <c r="A3451" s="3" t="s">
        <v>2</v>
      </c>
      <c r="B3451" s="3" t="s">
        <v>3</v>
      </c>
      <c r="C3451" s="3" t="s">
        <v>4</v>
      </c>
      <c r="D3451" s="3" t="s">
        <v>5</v>
      </c>
      <c r="E3451" s="3" t="s">
        <v>6</v>
      </c>
      <c r="F3451" s="7" t="s">
        <v>7</v>
      </c>
      <c r="G3451" s="3" t="s">
        <v>8</v>
      </c>
      <c r="H3451" s="7" t="s">
        <v>9</v>
      </c>
      <c r="I3451" s="7" t="s">
        <v>10</v>
      </c>
      <c r="J3451" s="3" t="s">
        <v>11</v>
      </c>
    </row>
    <row r="3452" spans="1:10" ht="194.25" x14ac:dyDescent="0.2">
      <c r="A3452" s="2" t="s">
        <v>1770</v>
      </c>
      <c r="B3452" s="9">
        <v>1</v>
      </c>
      <c r="C3452" s="9">
        <v>1</v>
      </c>
      <c r="D3452" s="10" t="s">
        <v>13</v>
      </c>
      <c r="E3452" s="11" t="s">
        <v>1724</v>
      </c>
      <c r="F3452" s="12">
        <v>15</v>
      </c>
      <c r="G3452" s="10" t="s">
        <v>83</v>
      </c>
      <c r="H3452" s="13"/>
      <c r="I3452" s="13"/>
      <c r="J3452" s="10"/>
    </row>
    <row r="3453" spans="1:10" x14ac:dyDescent="0.2">
      <c r="A3453" s="2" t="s">
        <v>1770</v>
      </c>
      <c r="B3453" s="9">
        <v>1</v>
      </c>
      <c r="C3453" s="9">
        <v>1</v>
      </c>
      <c r="D3453" s="10" t="s">
        <v>16</v>
      </c>
      <c r="E3453" s="11" t="s">
        <v>1725</v>
      </c>
      <c r="F3453" s="12">
        <v>32</v>
      </c>
      <c r="G3453" s="10" t="s">
        <v>83</v>
      </c>
      <c r="H3453" s="13"/>
      <c r="I3453" s="13"/>
      <c r="J3453" s="10"/>
    </row>
    <row r="3454" spans="1:10" x14ac:dyDescent="0.2">
      <c r="A3454" s="2" t="s">
        <v>1770</v>
      </c>
      <c r="B3454" s="9">
        <v>1</v>
      </c>
      <c r="C3454" s="9">
        <v>1</v>
      </c>
      <c r="D3454" s="10" t="s">
        <v>18</v>
      </c>
      <c r="E3454" s="11" t="s">
        <v>1726</v>
      </c>
      <c r="F3454" s="12">
        <v>22</v>
      </c>
      <c r="G3454" s="10" t="s">
        <v>83</v>
      </c>
      <c r="H3454" s="13"/>
      <c r="I3454" s="13"/>
      <c r="J3454" s="10"/>
    </row>
    <row r="3455" spans="1:10" x14ac:dyDescent="0.2">
      <c r="A3455" s="2" t="s">
        <v>1770</v>
      </c>
      <c r="B3455" s="9">
        <v>1</v>
      </c>
      <c r="C3455" s="9">
        <v>1</v>
      </c>
      <c r="D3455" s="10" t="s">
        <v>20</v>
      </c>
      <c r="E3455" s="11" t="s">
        <v>1248</v>
      </c>
      <c r="F3455" s="12">
        <v>2</v>
      </c>
      <c r="G3455" s="10" t="s">
        <v>31</v>
      </c>
      <c r="H3455" s="13"/>
      <c r="I3455" s="13"/>
      <c r="J3455" s="10"/>
    </row>
    <row r="3456" spans="1:10" ht="44.25" x14ac:dyDescent="0.2">
      <c r="A3456" s="2" t="s">
        <v>1770</v>
      </c>
      <c r="B3456" s="9">
        <v>1</v>
      </c>
      <c r="C3456" s="9">
        <v>1</v>
      </c>
      <c r="D3456" s="10" t="s">
        <v>22</v>
      </c>
      <c r="E3456" s="11" t="s">
        <v>1249</v>
      </c>
      <c r="F3456" s="12">
        <v>17</v>
      </c>
      <c r="G3456" s="10" t="s">
        <v>83</v>
      </c>
      <c r="H3456" s="13"/>
      <c r="I3456" s="13"/>
      <c r="J3456" s="10"/>
    </row>
    <row r="3457" spans="1:10" ht="104.25" x14ac:dyDescent="0.2">
      <c r="A3457" s="2" t="s">
        <v>1770</v>
      </c>
      <c r="B3457" s="9">
        <v>1</v>
      </c>
      <c r="C3457" s="9">
        <v>1</v>
      </c>
      <c r="D3457" s="10" t="s">
        <v>24</v>
      </c>
      <c r="E3457" s="11" t="s">
        <v>1250</v>
      </c>
      <c r="F3457" s="12">
        <v>5</v>
      </c>
      <c r="G3457" s="10" t="s">
        <v>79</v>
      </c>
      <c r="H3457" s="13"/>
      <c r="I3457" s="13"/>
      <c r="J3457" s="10"/>
    </row>
    <row r="3458" spans="1:10" x14ac:dyDescent="0.2">
      <c r="A3458" s="2" t="s">
        <v>1770</v>
      </c>
      <c r="B3458" s="9">
        <v>1</v>
      </c>
      <c r="C3458" s="9">
        <v>1</v>
      </c>
      <c r="D3458" s="10" t="s">
        <v>27</v>
      </c>
      <c r="E3458" s="11" t="s">
        <v>1251</v>
      </c>
      <c r="F3458" s="12">
        <v>3</v>
      </c>
      <c r="G3458" s="10" t="s">
        <v>79</v>
      </c>
      <c r="H3458" s="13"/>
      <c r="I3458" s="13"/>
      <c r="J3458" s="10"/>
    </row>
    <row r="3459" spans="1:10" ht="74.25" x14ac:dyDescent="0.2">
      <c r="A3459" s="2" t="s">
        <v>1770</v>
      </c>
      <c r="B3459" s="9">
        <v>1</v>
      </c>
      <c r="C3459" s="9">
        <v>1</v>
      </c>
      <c r="D3459" s="10" t="s">
        <v>29</v>
      </c>
      <c r="E3459" s="11" t="s">
        <v>1254</v>
      </c>
      <c r="F3459" s="12">
        <v>92</v>
      </c>
      <c r="G3459" s="10" t="s">
        <v>109</v>
      </c>
      <c r="H3459" s="13"/>
      <c r="I3459" s="13"/>
      <c r="J3459" s="10"/>
    </row>
    <row r="3460" spans="1:10" x14ac:dyDescent="0.2">
      <c r="A3460" s="2" t="s">
        <v>1770</v>
      </c>
      <c r="B3460" s="9">
        <v>1</v>
      </c>
      <c r="C3460" s="9">
        <v>1</v>
      </c>
      <c r="D3460" s="10" t="s">
        <v>32</v>
      </c>
      <c r="E3460" s="11" t="s">
        <v>1255</v>
      </c>
      <c r="F3460" s="12">
        <v>17</v>
      </c>
      <c r="G3460" s="10" t="s">
        <v>109</v>
      </c>
      <c r="H3460" s="13"/>
      <c r="I3460" s="13"/>
      <c r="J3460" s="10"/>
    </row>
    <row r="3461" spans="1:10" x14ac:dyDescent="0.2">
      <c r="A3461" s="1" t="s">
        <v>1771</v>
      </c>
      <c r="B3461" s="1"/>
      <c r="C3461" s="1"/>
      <c r="D3461" s="1"/>
      <c r="E3461" s="1"/>
      <c r="F3461" s="1"/>
      <c r="G3461" s="1"/>
      <c r="H3461" s="1" t="s">
        <v>67</v>
      </c>
      <c r="I3461" s="13">
        <f>I3452+I3453+I3454+I3455+I3456+I3457+I3458+I3459+I3460</f>
        <v>0</v>
      </c>
      <c r="J3461" s="1"/>
    </row>
    <row r="3464" spans="1:10" ht="15" x14ac:dyDescent="0.25">
      <c r="A3464" s="21" t="s">
        <v>1772</v>
      </c>
      <c r="B3464" s="22"/>
      <c r="C3464" s="22"/>
      <c r="D3464" s="22"/>
      <c r="E3464" s="22"/>
      <c r="F3464" s="22"/>
      <c r="G3464" s="22"/>
      <c r="H3464" s="22"/>
      <c r="I3464" s="22"/>
      <c r="J3464" s="22"/>
    </row>
    <row r="3465" spans="1:10" ht="15" x14ac:dyDescent="0.25">
      <c r="A3465" s="21" t="s">
        <v>1769</v>
      </c>
      <c r="B3465" s="22"/>
      <c r="C3465" s="22"/>
      <c r="D3465" s="22"/>
      <c r="E3465" s="22"/>
      <c r="F3465" s="22"/>
      <c r="G3465" s="22"/>
      <c r="H3465" s="22"/>
      <c r="I3465" s="22"/>
      <c r="J3465" s="22"/>
    </row>
    <row r="3467" spans="1:10" ht="15" x14ac:dyDescent="0.25">
      <c r="A3467" s="3" t="s">
        <v>2</v>
      </c>
      <c r="B3467" s="3" t="s">
        <v>3</v>
      </c>
      <c r="C3467" s="3" t="s">
        <v>4</v>
      </c>
      <c r="D3467" s="3" t="s">
        <v>5</v>
      </c>
      <c r="E3467" s="3" t="s">
        <v>6</v>
      </c>
      <c r="F3467" s="7" t="s">
        <v>7</v>
      </c>
      <c r="G3467" s="3" t="s">
        <v>8</v>
      </c>
      <c r="H3467" s="7" t="s">
        <v>9</v>
      </c>
      <c r="I3467" s="7" t="s">
        <v>10</v>
      </c>
      <c r="J3467" s="3" t="s">
        <v>11</v>
      </c>
    </row>
    <row r="3468" spans="1:10" ht="74.25" x14ac:dyDescent="0.2">
      <c r="A3468" s="2" t="s">
        <v>1770</v>
      </c>
      <c r="B3468" s="9">
        <v>1</v>
      </c>
      <c r="C3468" s="9">
        <v>2</v>
      </c>
      <c r="D3468" s="10" t="s">
        <v>13</v>
      </c>
      <c r="E3468" s="11" t="s">
        <v>1225</v>
      </c>
      <c r="F3468" s="12">
        <v>98</v>
      </c>
      <c r="G3468" s="10" t="s">
        <v>109</v>
      </c>
      <c r="H3468" s="13"/>
      <c r="I3468" s="13"/>
      <c r="J3468" s="10"/>
    </row>
    <row r="3469" spans="1:10" ht="149.25" x14ac:dyDescent="0.2">
      <c r="A3469" s="2" t="s">
        <v>1770</v>
      </c>
      <c r="B3469" s="9">
        <v>1</v>
      </c>
      <c r="C3469" s="9">
        <v>2</v>
      </c>
      <c r="D3469" s="10" t="s">
        <v>16</v>
      </c>
      <c r="E3469" s="11" t="s">
        <v>1381</v>
      </c>
      <c r="F3469" s="12">
        <v>6</v>
      </c>
      <c r="G3469" s="10" t="s">
        <v>109</v>
      </c>
      <c r="H3469" s="13"/>
      <c r="I3469" s="13"/>
      <c r="J3469" s="10"/>
    </row>
    <row r="3470" spans="1:10" ht="89.25" x14ac:dyDescent="0.2">
      <c r="A3470" s="2" t="s">
        <v>1770</v>
      </c>
      <c r="B3470" s="9">
        <v>1</v>
      </c>
      <c r="C3470" s="9">
        <v>2</v>
      </c>
      <c r="D3470" s="10" t="s">
        <v>18</v>
      </c>
      <c r="E3470" s="11" t="s">
        <v>1773</v>
      </c>
      <c r="F3470" s="12">
        <v>81</v>
      </c>
      <c r="G3470" s="10" t="s">
        <v>109</v>
      </c>
      <c r="H3470" s="13"/>
      <c r="I3470" s="13"/>
      <c r="J3470" s="10"/>
    </row>
    <row r="3471" spans="1:10" ht="104.25" x14ac:dyDescent="0.2">
      <c r="A3471" s="2" t="s">
        <v>1770</v>
      </c>
      <c r="B3471" s="9">
        <v>1</v>
      </c>
      <c r="C3471" s="9">
        <v>2</v>
      </c>
      <c r="D3471" s="10" t="s">
        <v>20</v>
      </c>
      <c r="E3471" s="11" t="s">
        <v>1774</v>
      </c>
      <c r="F3471" s="12">
        <v>93</v>
      </c>
      <c r="G3471" s="10" t="s">
        <v>109</v>
      </c>
      <c r="H3471" s="13"/>
      <c r="I3471" s="13"/>
      <c r="J3471" s="10"/>
    </row>
    <row r="3472" spans="1:10" ht="119.25" x14ac:dyDescent="0.2">
      <c r="A3472" s="2" t="s">
        <v>1770</v>
      </c>
      <c r="B3472" s="9">
        <v>1</v>
      </c>
      <c r="C3472" s="9">
        <v>2</v>
      </c>
      <c r="D3472" s="10" t="s">
        <v>22</v>
      </c>
      <c r="E3472" s="11" t="s">
        <v>1775</v>
      </c>
      <c r="F3472" s="12">
        <v>81</v>
      </c>
      <c r="G3472" s="10" t="s">
        <v>109</v>
      </c>
      <c r="H3472" s="13"/>
      <c r="I3472" s="13"/>
      <c r="J3472" s="10"/>
    </row>
    <row r="3473" spans="1:10" x14ac:dyDescent="0.2">
      <c r="A3473" s="1" t="s">
        <v>1776</v>
      </c>
      <c r="B3473" s="1"/>
      <c r="C3473" s="1"/>
      <c r="D3473" s="1"/>
      <c r="E3473" s="1"/>
      <c r="F3473" s="1"/>
      <c r="G3473" s="1"/>
      <c r="H3473" s="1" t="s">
        <v>67</v>
      </c>
      <c r="I3473" s="13">
        <f>I3468+I3469+I3470+I3471+I3472</f>
        <v>0</v>
      </c>
      <c r="J3473" s="1"/>
    </row>
    <row r="3476" spans="1:10" ht="15" x14ac:dyDescent="0.25">
      <c r="A3476" s="21" t="s">
        <v>1777</v>
      </c>
      <c r="B3476" s="22"/>
      <c r="C3476" s="22"/>
      <c r="D3476" s="22"/>
      <c r="E3476" s="22"/>
      <c r="F3476" s="22"/>
      <c r="G3476" s="22"/>
      <c r="H3476" s="22"/>
      <c r="I3476" s="22"/>
      <c r="J3476" s="22"/>
    </row>
    <row r="3477" spans="1:10" ht="15" x14ac:dyDescent="0.25">
      <c r="A3477" s="21" t="s">
        <v>1769</v>
      </c>
      <c r="B3477" s="22"/>
      <c r="C3477" s="22"/>
      <c r="D3477" s="22"/>
      <c r="E3477" s="22"/>
      <c r="F3477" s="22"/>
      <c r="G3477" s="22"/>
      <c r="H3477" s="22"/>
      <c r="I3477" s="22"/>
      <c r="J3477" s="22"/>
    </row>
    <row r="3479" spans="1:10" ht="15" x14ac:dyDescent="0.25">
      <c r="A3479" s="3" t="s">
        <v>2</v>
      </c>
      <c r="B3479" s="3" t="s">
        <v>3</v>
      </c>
      <c r="C3479" s="3" t="s">
        <v>4</v>
      </c>
      <c r="D3479" s="3" t="s">
        <v>5</v>
      </c>
      <c r="E3479" s="3" t="s">
        <v>6</v>
      </c>
      <c r="F3479" s="7" t="s">
        <v>7</v>
      </c>
      <c r="G3479" s="3" t="s">
        <v>8</v>
      </c>
      <c r="H3479" s="7" t="s">
        <v>9</v>
      </c>
      <c r="I3479" s="7" t="s">
        <v>10</v>
      </c>
      <c r="J3479" s="3" t="s">
        <v>11</v>
      </c>
    </row>
    <row r="3480" spans="1:10" ht="104.25" x14ac:dyDescent="0.2">
      <c r="A3480" s="2" t="s">
        <v>1770</v>
      </c>
      <c r="B3480" s="9">
        <v>1</v>
      </c>
      <c r="C3480" s="9">
        <v>3</v>
      </c>
      <c r="D3480" s="10" t="s">
        <v>13</v>
      </c>
      <c r="E3480" s="11" t="s">
        <v>1539</v>
      </c>
      <c r="F3480" s="12">
        <v>11</v>
      </c>
      <c r="G3480" s="10" t="s">
        <v>109</v>
      </c>
      <c r="H3480" s="13"/>
      <c r="I3480" s="13"/>
      <c r="J3480" s="10"/>
    </row>
    <row r="3481" spans="1:10" x14ac:dyDescent="0.2">
      <c r="A3481" s="1" t="s">
        <v>1778</v>
      </c>
      <c r="B3481" s="1"/>
      <c r="C3481" s="1"/>
      <c r="D3481" s="1"/>
      <c r="E3481" s="1"/>
      <c r="F3481" s="1"/>
      <c r="G3481" s="1"/>
      <c r="H3481" s="1" t="s">
        <v>67</v>
      </c>
      <c r="I3481" s="13">
        <f>I3480</f>
        <v>0</v>
      </c>
      <c r="J3481" s="1"/>
    </row>
    <row r="3489" spans="1:10" ht="15" x14ac:dyDescent="0.25">
      <c r="A3489" s="3" t="s">
        <v>89</v>
      </c>
      <c r="B3489" s="14"/>
      <c r="C3489" s="14"/>
      <c r="D3489" s="14"/>
      <c r="E3489" s="14"/>
      <c r="F3489" s="14"/>
      <c r="G3489" s="14"/>
      <c r="H3489" s="14"/>
      <c r="I3489" s="7" t="s">
        <v>90</v>
      </c>
    </row>
    <row r="3490" spans="1:10" x14ac:dyDescent="0.2">
      <c r="A3490" s="15" t="s">
        <v>1779</v>
      </c>
      <c r="I3490" s="16">
        <f>I3461</f>
        <v>0</v>
      </c>
    </row>
    <row r="3491" spans="1:10" x14ac:dyDescent="0.2">
      <c r="A3491" s="15" t="s">
        <v>1780</v>
      </c>
      <c r="I3491" s="16">
        <f>I3473</f>
        <v>0</v>
      </c>
    </row>
    <row r="3492" spans="1:10" x14ac:dyDescent="0.2">
      <c r="A3492" s="15" t="s">
        <v>1781</v>
      </c>
      <c r="I3492" s="16">
        <f>I3481</f>
        <v>0</v>
      </c>
    </row>
    <row r="3493" spans="1:10" x14ac:dyDescent="0.2">
      <c r="A3493" s="15"/>
      <c r="I3493" s="15"/>
    </row>
    <row r="3494" spans="1:10" x14ac:dyDescent="0.2">
      <c r="A3494" s="17"/>
      <c r="B3494" s="18"/>
      <c r="C3494" s="18"/>
      <c r="D3494" s="18"/>
      <c r="E3494" s="18"/>
      <c r="F3494" s="18"/>
      <c r="G3494" s="18"/>
      <c r="H3494" s="18"/>
      <c r="I3494" s="17"/>
    </row>
    <row r="3495" spans="1:10" x14ac:dyDescent="0.2">
      <c r="H3495" s="4" t="s">
        <v>95</v>
      </c>
      <c r="I3495" s="13">
        <f>SUM(I3490:I3494)</f>
        <v>0</v>
      </c>
    </row>
    <row r="3499" spans="1:10" ht="15" x14ac:dyDescent="0.25">
      <c r="A3499" s="21" t="s">
        <v>1782</v>
      </c>
      <c r="B3499" s="22"/>
      <c r="C3499" s="22"/>
      <c r="D3499" s="22"/>
      <c r="E3499" s="22"/>
      <c r="F3499" s="22"/>
      <c r="G3499" s="22"/>
      <c r="H3499" s="22"/>
      <c r="I3499" s="22"/>
      <c r="J3499" s="22"/>
    </row>
    <row r="3500" spans="1:10" ht="15" x14ac:dyDescent="0.25">
      <c r="A3500" s="21" t="s">
        <v>1783</v>
      </c>
      <c r="B3500" s="22"/>
      <c r="C3500" s="22"/>
      <c r="D3500" s="22"/>
      <c r="E3500" s="22"/>
      <c r="F3500" s="22"/>
      <c r="G3500" s="22"/>
      <c r="H3500" s="22"/>
      <c r="I3500" s="22"/>
      <c r="J3500" s="22"/>
    </row>
    <row r="3502" spans="1:10" ht="15" x14ac:dyDescent="0.25">
      <c r="A3502" s="3" t="s">
        <v>2</v>
      </c>
      <c r="B3502" s="3" t="s">
        <v>3</v>
      </c>
      <c r="C3502" s="3" t="s">
        <v>4</v>
      </c>
      <c r="D3502" s="3" t="s">
        <v>5</v>
      </c>
      <c r="E3502" s="3" t="s">
        <v>6</v>
      </c>
      <c r="F3502" s="7" t="s">
        <v>7</v>
      </c>
      <c r="G3502" s="3" t="s">
        <v>8</v>
      </c>
      <c r="H3502" s="7" t="s">
        <v>9</v>
      </c>
      <c r="I3502" s="7" t="s">
        <v>10</v>
      </c>
      <c r="J3502" s="3" t="s">
        <v>11</v>
      </c>
    </row>
    <row r="3503" spans="1:10" ht="164.25" x14ac:dyDescent="0.2">
      <c r="A3503" s="2" t="s">
        <v>1784</v>
      </c>
      <c r="B3503" s="9">
        <v>1</v>
      </c>
      <c r="C3503" s="9">
        <v>1</v>
      </c>
      <c r="D3503" s="10" t="s">
        <v>13</v>
      </c>
      <c r="E3503" s="11" t="s">
        <v>1152</v>
      </c>
      <c r="F3503" s="12">
        <v>2</v>
      </c>
      <c r="G3503" s="10" t="s">
        <v>83</v>
      </c>
      <c r="H3503" s="13"/>
      <c r="I3503" s="13"/>
      <c r="J3503" s="10"/>
    </row>
    <row r="3504" spans="1:10" x14ac:dyDescent="0.2">
      <c r="A3504" s="2" t="s">
        <v>1784</v>
      </c>
      <c r="B3504" s="9">
        <v>1</v>
      </c>
      <c r="C3504" s="9">
        <v>1</v>
      </c>
      <c r="D3504" s="10" t="s">
        <v>16</v>
      </c>
      <c r="E3504" s="11" t="s">
        <v>1161</v>
      </c>
      <c r="F3504" s="12">
        <v>7.0000000000000009</v>
      </c>
      <c r="G3504" s="10" t="s">
        <v>83</v>
      </c>
      <c r="H3504" s="13"/>
      <c r="I3504" s="13"/>
      <c r="J3504" s="10"/>
    </row>
    <row r="3505" spans="1:10" ht="89.25" x14ac:dyDescent="0.2">
      <c r="A3505" s="2" t="s">
        <v>1784</v>
      </c>
      <c r="B3505" s="9">
        <v>1</v>
      </c>
      <c r="C3505" s="9">
        <v>1</v>
      </c>
      <c r="D3505" s="10" t="s">
        <v>18</v>
      </c>
      <c r="E3505" s="11" t="s">
        <v>1162</v>
      </c>
      <c r="F3505" s="12">
        <v>7.0000000000000009</v>
      </c>
      <c r="G3505" s="10" t="s">
        <v>83</v>
      </c>
      <c r="H3505" s="13"/>
      <c r="I3505" s="13"/>
      <c r="J3505" s="10"/>
    </row>
    <row r="3506" spans="1:10" ht="59.25" x14ac:dyDescent="0.2">
      <c r="A3506" s="2" t="s">
        <v>1784</v>
      </c>
      <c r="B3506" s="9">
        <v>1</v>
      </c>
      <c r="C3506" s="9">
        <v>1</v>
      </c>
      <c r="D3506" s="10" t="s">
        <v>20</v>
      </c>
      <c r="E3506" s="11" t="s">
        <v>1737</v>
      </c>
      <c r="F3506" s="12">
        <v>2</v>
      </c>
      <c r="G3506" s="10" t="s">
        <v>83</v>
      </c>
      <c r="H3506" s="13"/>
      <c r="I3506" s="13"/>
      <c r="J3506" s="10"/>
    </row>
    <row r="3507" spans="1:10" ht="74.25" x14ac:dyDescent="0.2">
      <c r="A3507" s="2" t="s">
        <v>1784</v>
      </c>
      <c r="B3507" s="9">
        <v>1</v>
      </c>
      <c r="C3507" s="9">
        <v>1</v>
      </c>
      <c r="D3507" s="10" t="s">
        <v>22</v>
      </c>
      <c r="E3507" s="11" t="s">
        <v>1341</v>
      </c>
      <c r="F3507" s="12">
        <v>9</v>
      </c>
      <c r="G3507" s="10" t="s">
        <v>83</v>
      </c>
      <c r="H3507" s="13"/>
      <c r="I3507" s="13"/>
      <c r="J3507" s="10"/>
    </row>
    <row r="3508" spans="1:10" x14ac:dyDescent="0.2">
      <c r="A3508" s="2" t="s">
        <v>1784</v>
      </c>
      <c r="B3508" s="9">
        <v>1</v>
      </c>
      <c r="C3508" s="9">
        <v>1</v>
      </c>
      <c r="D3508" s="10" t="s">
        <v>24</v>
      </c>
      <c r="E3508" s="11" t="s">
        <v>1168</v>
      </c>
      <c r="F3508" s="12">
        <v>8</v>
      </c>
      <c r="G3508" s="10" t="s">
        <v>31</v>
      </c>
      <c r="H3508" s="13"/>
      <c r="I3508" s="13"/>
      <c r="J3508" s="10"/>
    </row>
    <row r="3509" spans="1:10" x14ac:dyDescent="0.2">
      <c r="A3509" s="2" t="s">
        <v>1784</v>
      </c>
      <c r="B3509" s="9">
        <v>1</v>
      </c>
      <c r="C3509" s="9">
        <v>1</v>
      </c>
      <c r="D3509" s="10" t="s">
        <v>27</v>
      </c>
      <c r="E3509" s="11" t="s">
        <v>1738</v>
      </c>
      <c r="F3509" s="12">
        <v>2</v>
      </c>
      <c r="G3509" s="10" t="s">
        <v>31</v>
      </c>
      <c r="H3509" s="13"/>
      <c r="I3509" s="13"/>
      <c r="J3509" s="10"/>
    </row>
    <row r="3510" spans="1:10" x14ac:dyDescent="0.2">
      <c r="A3510" s="1" t="s">
        <v>1785</v>
      </c>
      <c r="B3510" s="1"/>
      <c r="C3510" s="1"/>
      <c r="D3510" s="1"/>
      <c r="E3510" s="1"/>
      <c r="F3510" s="1"/>
      <c r="G3510" s="1"/>
      <c r="H3510" s="1" t="s">
        <v>67</v>
      </c>
      <c r="I3510" s="13">
        <f>I3503+I3504+I3505+I3506+I3507+I3508+I3509</f>
        <v>0</v>
      </c>
      <c r="J3510" s="1"/>
    </row>
    <row r="3513" spans="1:10" ht="15" x14ac:dyDescent="0.25">
      <c r="A3513" s="21" t="s">
        <v>1786</v>
      </c>
      <c r="B3513" s="22"/>
      <c r="C3513" s="22"/>
      <c r="D3513" s="22"/>
      <c r="E3513" s="22"/>
      <c r="F3513" s="22"/>
      <c r="G3513" s="22"/>
      <c r="H3513" s="22"/>
      <c r="I3513" s="22"/>
      <c r="J3513" s="22"/>
    </row>
    <row r="3514" spans="1:10" ht="15" x14ac:dyDescent="0.25">
      <c r="A3514" s="21" t="s">
        <v>1783</v>
      </c>
      <c r="B3514" s="22"/>
      <c r="C3514" s="22"/>
      <c r="D3514" s="22"/>
      <c r="E3514" s="22"/>
      <c r="F3514" s="22"/>
      <c r="G3514" s="22"/>
      <c r="H3514" s="22"/>
      <c r="I3514" s="22"/>
      <c r="J3514" s="22"/>
    </row>
    <row r="3516" spans="1:10" ht="15" x14ac:dyDescent="0.25">
      <c r="A3516" s="3" t="s">
        <v>2</v>
      </c>
      <c r="B3516" s="3" t="s">
        <v>3</v>
      </c>
      <c r="C3516" s="3" t="s">
        <v>4</v>
      </c>
      <c r="D3516" s="3" t="s">
        <v>5</v>
      </c>
      <c r="E3516" s="3" t="s">
        <v>6</v>
      </c>
      <c r="F3516" s="7" t="s">
        <v>7</v>
      </c>
      <c r="G3516" s="3" t="s">
        <v>8</v>
      </c>
      <c r="H3516" s="7" t="s">
        <v>9</v>
      </c>
      <c r="I3516" s="7" t="s">
        <v>10</v>
      </c>
      <c r="J3516" s="3" t="s">
        <v>11</v>
      </c>
    </row>
    <row r="3517" spans="1:10" ht="119.25" x14ac:dyDescent="0.2">
      <c r="A3517" s="2" t="s">
        <v>1784</v>
      </c>
      <c r="B3517" s="9">
        <v>1</v>
      </c>
      <c r="C3517" s="9">
        <v>2</v>
      </c>
      <c r="D3517" s="10" t="s">
        <v>13</v>
      </c>
      <c r="E3517" s="11" t="s">
        <v>1741</v>
      </c>
      <c r="F3517" s="12">
        <v>1</v>
      </c>
      <c r="G3517" s="10" t="s">
        <v>31</v>
      </c>
      <c r="H3517" s="13"/>
      <c r="I3517" s="13"/>
      <c r="J3517" s="10"/>
    </row>
    <row r="3518" spans="1:10" ht="74.25" x14ac:dyDescent="0.2">
      <c r="A3518" s="2" t="s">
        <v>1784</v>
      </c>
      <c r="B3518" s="9">
        <v>1</v>
      </c>
      <c r="C3518" s="9">
        <v>2</v>
      </c>
      <c r="D3518" s="10" t="s">
        <v>16</v>
      </c>
      <c r="E3518" s="11" t="s">
        <v>1742</v>
      </c>
      <c r="F3518" s="12">
        <v>1</v>
      </c>
      <c r="G3518" s="10" t="s">
        <v>31</v>
      </c>
      <c r="H3518" s="13"/>
      <c r="I3518" s="13"/>
      <c r="J3518" s="10"/>
    </row>
    <row r="3519" spans="1:10" ht="28.5" x14ac:dyDescent="0.2">
      <c r="A3519" s="2" t="s">
        <v>1784</v>
      </c>
      <c r="B3519" s="9">
        <v>1</v>
      </c>
      <c r="C3519" s="9">
        <v>2</v>
      </c>
      <c r="D3519" s="10" t="s">
        <v>18</v>
      </c>
      <c r="E3519" s="11" t="s">
        <v>1743</v>
      </c>
      <c r="F3519" s="12">
        <v>1</v>
      </c>
      <c r="G3519" s="10" t="s">
        <v>15</v>
      </c>
      <c r="H3519" s="13"/>
      <c r="I3519" s="13"/>
      <c r="J3519" s="10"/>
    </row>
    <row r="3520" spans="1:10" ht="74.25" x14ac:dyDescent="0.2">
      <c r="A3520" s="2" t="s">
        <v>1784</v>
      </c>
      <c r="B3520" s="9">
        <v>1</v>
      </c>
      <c r="C3520" s="9">
        <v>2</v>
      </c>
      <c r="D3520" s="10" t="s">
        <v>20</v>
      </c>
      <c r="E3520" s="11" t="s">
        <v>1744</v>
      </c>
      <c r="F3520" s="12">
        <v>7.0000000000000009</v>
      </c>
      <c r="G3520" s="10" t="s">
        <v>83</v>
      </c>
      <c r="H3520" s="13"/>
      <c r="I3520" s="13"/>
      <c r="J3520" s="10"/>
    </row>
    <row r="3521" spans="1:10" ht="74.25" x14ac:dyDescent="0.2">
      <c r="A3521" s="2" t="s">
        <v>1784</v>
      </c>
      <c r="B3521" s="9">
        <v>1</v>
      </c>
      <c r="C3521" s="9">
        <v>2</v>
      </c>
      <c r="D3521" s="10" t="s">
        <v>22</v>
      </c>
      <c r="E3521" s="11" t="s">
        <v>1199</v>
      </c>
      <c r="F3521" s="12">
        <v>1</v>
      </c>
      <c r="G3521" s="10" t="s">
        <v>15</v>
      </c>
      <c r="H3521" s="13"/>
      <c r="I3521" s="13"/>
      <c r="J3521" s="10"/>
    </row>
    <row r="3522" spans="1:10" x14ac:dyDescent="0.2">
      <c r="A3522" s="2" t="s">
        <v>1784</v>
      </c>
      <c r="B3522" s="9">
        <v>1</v>
      </c>
      <c r="C3522" s="9">
        <v>2</v>
      </c>
      <c r="D3522" s="10" t="s">
        <v>24</v>
      </c>
      <c r="E3522" s="11" t="s">
        <v>1200</v>
      </c>
      <c r="F3522" s="12">
        <v>1</v>
      </c>
      <c r="G3522" s="10" t="s">
        <v>15</v>
      </c>
      <c r="H3522" s="13"/>
      <c r="I3522" s="13"/>
      <c r="J3522" s="10"/>
    </row>
    <row r="3523" spans="1:10" ht="44.25" x14ac:dyDescent="0.2">
      <c r="A3523" s="2" t="s">
        <v>1784</v>
      </c>
      <c r="B3523" s="9">
        <v>1</v>
      </c>
      <c r="C3523" s="9">
        <v>2</v>
      </c>
      <c r="D3523" s="10" t="s">
        <v>27</v>
      </c>
      <c r="E3523" s="11" t="s">
        <v>1347</v>
      </c>
      <c r="F3523" s="12">
        <v>1</v>
      </c>
      <c r="G3523" s="10" t="s">
        <v>15</v>
      </c>
      <c r="H3523" s="13"/>
      <c r="I3523" s="6"/>
      <c r="J3523" s="10"/>
    </row>
    <row r="3524" spans="1:10" ht="74.25" x14ac:dyDescent="0.2">
      <c r="A3524" s="2" t="s">
        <v>1784</v>
      </c>
      <c r="B3524" s="9">
        <v>1</v>
      </c>
      <c r="C3524" s="9">
        <v>2</v>
      </c>
      <c r="D3524" s="10" t="s">
        <v>29</v>
      </c>
      <c r="E3524" s="11" t="s">
        <v>1207</v>
      </c>
      <c r="F3524" s="12">
        <v>1</v>
      </c>
      <c r="G3524" s="10" t="s">
        <v>15</v>
      </c>
      <c r="H3524" s="13"/>
      <c r="I3524" s="13"/>
      <c r="J3524" s="10"/>
    </row>
    <row r="3525" spans="1:10" x14ac:dyDescent="0.2">
      <c r="A3525" s="1" t="s">
        <v>1787</v>
      </c>
      <c r="B3525" s="1"/>
      <c r="C3525" s="1"/>
      <c r="D3525" s="1"/>
      <c r="E3525" s="1"/>
      <c r="F3525" s="1"/>
      <c r="G3525" s="1"/>
      <c r="H3525" s="1" t="s">
        <v>67</v>
      </c>
      <c r="I3525" s="13">
        <f>I3517+I3518+I3519+I3520+I3521+I3522+I3524</f>
        <v>0</v>
      </c>
      <c r="J3525" s="1"/>
    </row>
    <row r="3533" spans="1:10" ht="15" x14ac:dyDescent="0.25">
      <c r="A3533" s="3" t="s">
        <v>89</v>
      </c>
      <c r="B3533" s="14"/>
      <c r="C3533" s="14"/>
      <c r="D3533" s="14"/>
      <c r="E3533" s="14"/>
      <c r="F3533" s="14"/>
      <c r="G3533" s="14"/>
      <c r="H3533" s="14"/>
      <c r="I3533" s="7" t="s">
        <v>90</v>
      </c>
    </row>
    <row r="3534" spans="1:10" x14ac:dyDescent="0.2">
      <c r="A3534" s="15" t="s">
        <v>1788</v>
      </c>
      <c r="I3534" s="16">
        <f>I3510</f>
        <v>0</v>
      </c>
    </row>
    <row r="3535" spans="1:10" x14ac:dyDescent="0.2">
      <c r="A3535" s="15" t="s">
        <v>1789</v>
      </c>
      <c r="I3535" s="16">
        <f>I3525</f>
        <v>0</v>
      </c>
    </row>
    <row r="3536" spans="1:10" x14ac:dyDescent="0.2">
      <c r="A3536" s="15"/>
      <c r="I3536" s="15"/>
    </row>
    <row r="3537" spans="1:10" x14ac:dyDescent="0.2">
      <c r="A3537" s="17"/>
      <c r="B3537" s="18"/>
      <c r="C3537" s="18"/>
      <c r="D3537" s="18"/>
      <c r="E3537" s="18"/>
      <c r="F3537" s="18"/>
      <c r="G3537" s="18"/>
      <c r="H3537" s="18"/>
      <c r="I3537" s="17"/>
    </row>
    <row r="3538" spans="1:10" x14ac:dyDescent="0.2">
      <c r="H3538" s="4" t="s">
        <v>95</v>
      </c>
      <c r="I3538" s="13">
        <f>SUM(I3534:I3537)</f>
        <v>0</v>
      </c>
    </row>
    <row r="3542" spans="1:10" ht="15" x14ac:dyDescent="0.25">
      <c r="A3542" s="21" t="s">
        <v>1790</v>
      </c>
      <c r="B3542" s="22"/>
      <c r="C3542" s="22"/>
      <c r="D3542" s="22"/>
      <c r="E3542" s="22"/>
      <c r="F3542" s="22"/>
      <c r="G3542" s="22"/>
      <c r="H3542" s="22"/>
      <c r="I3542" s="22"/>
      <c r="J3542" s="22"/>
    </row>
    <row r="3543" spans="1:10" ht="15" x14ac:dyDescent="0.25">
      <c r="A3543" s="21" t="s">
        <v>1791</v>
      </c>
      <c r="B3543" s="22"/>
      <c r="C3543" s="22"/>
      <c r="D3543" s="22"/>
      <c r="E3543" s="22"/>
      <c r="F3543" s="22"/>
      <c r="G3543" s="22"/>
      <c r="H3543" s="22"/>
      <c r="I3543" s="22"/>
      <c r="J3543" s="22"/>
    </row>
    <row r="3545" spans="1:10" ht="15" x14ac:dyDescent="0.25">
      <c r="A3545" s="3" t="s">
        <v>2</v>
      </c>
      <c r="B3545" s="3" t="s">
        <v>3</v>
      </c>
      <c r="C3545" s="3" t="s">
        <v>4</v>
      </c>
      <c r="D3545" s="3" t="s">
        <v>5</v>
      </c>
      <c r="E3545" s="3" t="s">
        <v>6</v>
      </c>
      <c r="F3545" s="7" t="s">
        <v>7</v>
      </c>
      <c r="G3545" s="3" t="s">
        <v>8</v>
      </c>
      <c r="H3545" s="7" t="s">
        <v>9</v>
      </c>
      <c r="I3545" s="7" t="s">
        <v>10</v>
      </c>
      <c r="J3545" s="3" t="s">
        <v>11</v>
      </c>
    </row>
    <row r="3546" spans="1:10" ht="179.25" x14ac:dyDescent="0.2">
      <c r="A3546" s="2" t="s">
        <v>1792</v>
      </c>
      <c r="B3546" s="9">
        <v>1</v>
      </c>
      <c r="C3546" s="9">
        <v>1</v>
      </c>
      <c r="D3546" s="10" t="s">
        <v>13</v>
      </c>
      <c r="E3546" s="11" t="s">
        <v>1498</v>
      </c>
      <c r="F3546" s="12">
        <v>32</v>
      </c>
      <c r="G3546" s="10" t="s">
        <v>83</v>
      </c>
      <c r="H3546" s="13"/>
      <c r="I3546" s="13"/>
      <c r="J3546" s="10"/>
    </row>
    <row r="3547" spans="1:10" x14ac:dyDescent="0.2">
      <c r="A3547" s="2" t="s">
        <v>1792</v>
      </c>
      <c r="B3547" s="9">
        <v>1</v>
      </c>
      <c r="C3547" s="9">
        <v>1</v>
      </c>
      <c r="D3547" s="10" t="s">
        <v>16</v>
      </c>
      <c r="E3547" s="11" t="s">
        <v>1566</v>
      </c>
      <c r="F3547" s="12">
        <v>56.000000000000007</v>
      </c>
      <c r="G3547" s="10" t="s">
        <v>83</v>
      </c>
      <c r="H3547" s="13"/>
      <c r="I3547" s="13"/>
      <c r="J3547" s="10"/>
    </row>
    <row r="3548" spans="1:10" ht="74.25" x14ac:dyDescent="0.2">
      <c r="A3548" s="2" t="s">
        <v>1792</v>
      </c>
      <c r="B3548" s="9">
        <v>1</v>
      </c>
      <c r="C3548" s="9">
        <v>1</v>
      </c>
      <c r="D3548" s="10" t="s">
        <v>18</v>
      </c>
      <c r="E3548" s="11" t="s">
        <v>1421</v>
      </c>
      <c r="F3548" s="12">
        <v>32</v>
      </c>
      <c r="G3548" s="10" t="s">
        <v>83</v>
      </c>
      <c r="H3548" s="13"/>
      <c r="I3548" s="13"/>
      <c r="J3548" s="10"/>
    </row>
    <row r="3549" spans="1:10" x14ac:dyDescent="0.2">
      <c r="A3549" s="2" t="s">
        <v>1792</v>
      </c>
      <c r="B3549" s="9">
        <v>1</v>
      </c>
      <c r="C3549" s="9">
        <v>1</v>
      </c>
      <c r="D3549" s="10" t="s">
        <v>20</v>
      </c>
      <c r="E3549" s="11" t="s">
        <v>1424</v>
      </c>
      <c r="F3549" s="12">
        <v>56.000000000000007</v>
      </c>
      <c r="G3549" s="10" t="s">
        <v>83</v>
      </c>
      <c r="H3549" s="13"/>
      <c r="I3549" s="13"/>
      <c r="J3549" s="10"/>
    </row>
    <row r="3550" spans="1:10" ht="74.25" x14ac:dyDescent="0.2">
      <c r="A3550" s="2" t="s">
        <v>1792</v>
      </c>
      <c r="B3550" s="9">
        <v>1</v>
      </c>
      <c r="C3550" s="9">
        <v>1</v>
      </c>
      <c r="D3550" s="10" t="s">
        <v>22</v>
      </c>
      <c r="E3550" s="11" t="s">
        <v>1500</v>
      </c>
      <c r="F3550" s="12">
        <v>32</v>
      </c>
      <c r="G3550" s="10" t="s">
        <v>83</v>
      </c>
      <c r="H3550" s="13"/>
      <c r="I3550" s="13"/>
      <c r="J3550" s="10"/>
    </row>
    <row r="3551" spans="1:10" ht="44.25" x14ac:dyDescent="0.2">
      <c r="A3551" s="2" t="s">
        <v>1792</v>
      </c>
      <c r="B3551" s="9">
        <v>1</v>
      </c>
      <c r="C3551" s="9">
        <v>1</v>
      </c>
      <c r="D3551" s="10" t="s">
        <v>24</v>
      </c>
      <c r="E3551" s="11" t="s">
        <v>1574</v>
      </c>
      <c r="F3551" s="12">
        <v>56.000000000000007</v>
      </c>
      <c r="G3551" s="10" t="s">
        <v>83</v>
      </c>
      <c r="H3551" s="13"/>
      <c r="I3551" s="13"/>
      <c r="J3551" s="10"/>
    </row>
    <row r="3552" spans="1:10" ht="74.25" x14ac:dyDescent="0.2">
      <c r="A3552" s="2" t="s">
        <v>1792</v>
      </c>
      <c r="B3552" s="9">
        <v>1</v>
      </c>
      <c r="C3552" s="9">
        <v>1</v>
      </c>
      <c r="D3552" s="10" t="s">
        <v>27</v>
      </c>
      <c r="E3552" s="11" t="s">
        <v>1793</v>
      </c>
      <c r="F3552" s="12">
        <v>2</v>
      </c>
      <c r="G3552" s="10" t="s">
        <v>31</v>
      </c>
      <c r="H3552" s="13"/>
      <c r="I3552" s="13"/>
      <c r="J3552" s="10"/>
    </row>
    <row r="3553" spans="1:10" x14ac:dyDescent="0.2">
      <c r="A3553" s="1" t="s">
        <v>1794</v>
      </c>
      <c r="B3553" s="1"/>
      <c r="C3553" s="1"/>
      <c r="D3553" s="1"/>
      <c r="E3553" s="1"/>
      <c r="F3553" s="1"/>
      <c r="G3553" s="1"/>
      <c r="H3553" s="1" t="s">
        <v>67</v>
      </c>
      <c r="I3553" s="13">
        <f>I3546+I3547+I3548+I3549+I3550+I3551+I3552</f>
        <v>0</v>
      </c>
      <c r="J3553" s="1"/>
    </row>
    <row r="3556" spans="1:10" ht="15" x14ac:dyDescent="0.25">
      <c r="A3556" s="21" t="s">
        <v>1795</v>
      </c>
      <c r="B3556" s="22"/>
      <c r="C3556" s="22"/>
      <c r="D3556" s="22"/>
      <c r="E3556" s="22"/>
      <c r="F3556" s="22"/>
      <c r="G3556" s="22"/>
      <c r="H3556" s="22"/>
      <c r="I3556" s="22"/>
      <c r="J3556" s="22"/>
    </row>
    <row r="3557" spans="1:10" ht="15" x14ac:dyDescent="0.25">
      <c r="A3557" s="21" t="s">
        <v>1791</v>
      </c>
      <c r="B3557" s="22"/>
      <c r="C3557" s="22"/>
      <c r="D3557" s="22"/>
      <c r="E3557" s="22"/>
      <c r="F3557" s="22"/>
      <c r="G3557" s="22"/>
      <c r="H3557" s="22"/>
      <c r="I3557" s="22"/>
      <c r="J3557" s="22"/>
    </row>
    <row r="3559" spans="1:10" ht="15" x14ac:dyDescent="0.25">
      <c r="A3559" s="3" t="s">
        <v>2</v>
      </c>
      <c r="B3559" s="3" t="s">
        <v>3</v>
      </c>
      <c r="C3559" s="3" t="s">
        <v>4</v>
      </c>
      <c r="D3559" s="3" t="s">
        <v>5</v>
      </c>
      <c r="E3559" s="3" t="s">
        <v>6</v>
      </c>
      <c r="F3559" s="7" t="s">
        <v>7</v>
      </c>
      <c r="G3559" s="3" t="s">
        <v>8</v>
      </c>
      <c r="H3559" s="7" t="s">
        <v>9</v>
      </c>
      <c r="I3559" s="7" t="s">
        <v>10</v>
      </c>
      <c r="J3559" s="3" t="s">
        <v>11</v>
      </c>
    </row>
    <row r="3560" spans="1:10" ht="74.25" x14ac:dyDescent="0.2">
      <c r="A3560" s="2" t="s">
        <v>1792</v>
      </c>
      <c r="B3560" s="9">
        <v>1</v>
      </c>
      <c r="C3560" s="9">
        <v>2</v>
      </c>
      <c r="D3560" s="10" t="s">
        <v>13</v>
      </c>
      <c r="E3560" s="11" t="s">
        <v>1505</v>
      </c>
      <c r="F3560" s="12">
        <v>32</v>
      </c>
      <c r="G3560" s="10" t="s">
        <v>83</v>
      </c>
      <c r="H3560" s="13"/>
      <c r="I3560" s="13"/>
      <c r="J3560" s="10"/>
    </row>
    <row r="3561" spans="1:10" x14ac:dyDescent="0.2">
      <c r="A3561" s="2" t="s">
        <v>1792</v>
      </c>
      <c r="B3561" s="9">
        <v>1</v>
      </c>
      <c r="C3561" s="9">
        <v>2</v>
      </c>
      <c r="D3561" s="10" t="s">
        <v>16</v>
      </c>
      <c r="E3561" s="11" t="s">
        <v>1582</v>
      </c>
      <c r="F3561" s="12">
        <v>56.000000000000007</v>
      </c>
      <c r="G3561" s="10" t="s">
        <v>83</v>
      </c>
      <c r="H3561" s="13"/>
      <c r="I3561" s="13"/>
      <c r="J3561" s="10"/>
    </row>
    <row r="3562" spans="1:10" ht="89.25" x14ac:dyDescent="0.2">
      <c r="A3562" s="2" t="s">
        <v>1792</v>
      </c>
      <c r="B3562" s="9">
        <v>1</v>
      </c>
      <c r="C3562" s="9">
        <v>2</v>
      </c>
      <c r="D3562" s="10" t="s">
        <v>18</v>
      </c>
      <c r="E3562" s="11" t="s">
        <v>1796</v>
      </c>
      <c r="F3562" s="12">
        <v>1</v>
      </c>
      <c r="G3562" s="10" t="s">
        <v>15</v>
      </c>
      <c r="H3562" s="13"/>
      <c r="I3562" s="6"/>
      <c r="J3562" s="10"/>
    </row>
    <row r="3563" spans="1:10" x14ac:dyDescent="0.2">
      <c r="A3563" s="2" t="s">
        <v>1792</v>
      </c>
      <c r="B3563" s="9">
        <v>1</v>
      </c>
      <c r="C3563" s="9">
        <v>2</v>
      </c>
      <c r="D3563" s="10" t="s">
        <v>20</v>
      </c>
      <c r="E3563" s="11" t="s">
        <v>1453</v>
      </c>
      <c r="F3563" s="12">
        <v>1</v>
      </c>
      <c r="G3563" s="10" t="s">
        <v>15</v>
      </c>
      <c r="H3563" s="13"/>
      <c r="I3563" s="6"/>
      <c r="J3563" s="10"/>
    </row>
    <row r="3564" spans="1:10" x14ac:dyDescent="0.2">
      <c r="A3564" s="1" t="s">
        <v>1797</v>
      </c>
      <c r="B3564" s="1"/>
      <c r="C3564" s="1"/>
      <c r="D3564" s="1"/>
      <c r="E3564" s="1"/>
      <c r="F3564" s="1"/>
      <c r="G3564" s="1"/>
      <c r="H3564" s="1" t="s">
        <v>67</v>
      </c>
      <c r="I3564" s="13">
        <f>I3560+I3561</f>
        <v>0</v>
      </c>
      <c r="J3564" s="1"/>
    </row>
    <row r="3572" spans="1:10" ht="15" x14ac:dyDescent="0.25">
      <c r="A3572" s="3" t="s">
        <v>89</v>
      </c>
      <c r="B3572" s="14"/>
      <c r="C3572" s="14"/>
      <c r="D3572" s="14"/>
      <c r="E3572" s="14"/>
      <c r="F3572" s="14"/>
      <c r="G3572" s="14"/>
      <c r="H3572" s="14"/>
      <c r="I3572" s="7" t="s">
        <v>90</v>
      </c>
    </row>
    <row r="3573" spans="1:10" x14ac:dyDescent="0.2">
      <c r="A3573" s="15" t="s">
        <v>1798</v>
      </c>
      <c r="I3573" s="16">
        <f>I3553</f>
        <v>0</v>
      </c>
    </row>
    <row r="3574" spans="1:10" x14ac:dyDescent="0.2">
      <c r="A3574" s="15" t="s">
        <v>1799</v>
      </c>
      <c r="I3574" s="16">
        <f>I3564</f>
        <v>0</v>
      </c>
    </row>
    <row r="3575" spans="1:10" x14ac:dyDescent="0.2">
      <c r="A3575" s="15"/>
      <c r="I3575" s="15"/>
    </row>
    <row r="3576" spans="1:10" x14ac:dyDescent="0.2">
      <c r="A3576" s="17"/>
      <c r="B3576" s="18"/>
      <c r="C3576" s="18"/>
      <c r="D3576" s="18"/>
      <c r="E3576" s="18"/>
      <c r="F3576" s="18"/>
      <c r="G3576" s="18"/>
      <c r="H3576" s="18"/>
      <c r="I3576" s="17"/>
    </row>
    <row r="3577" spans="1:10" x14ac:dyDescent="0.2">
      <c r="H3577" s="4" t="s">
        <v>95</v>
      </c>
      <c r="I3577" s="13">
        <f>SUM(I3573:I3576)</f>
        <v>0</v>
      </c>
    </row>
    <row r="3581" spans="1:10" ht="15" x14ac:dyDescent="0.25">
      <c r="A3581" s="21" t="s">
        <v>1800</v>
      </c>
      <c r="B3581" s="22"/>
      <c r="C3581" s="22"/>
      <c r="D3581" s="22"/>
      <c r="E3581" s="22"/>
      <c r="F3581" s="22"/>
      <c r="G3581" s="22"/>
      <c r="H3581" s="22"/>
      <c r="I3581" s="22"/>
      <c r="J3581" s="22"/>
    </row>
    <row r="3582" spans="1:10" ht="15" x14ac:dyDescent="0.25">
      <c r="A3582" s="21" t="s">
        <v>1801</v>
      </c>
      <c r="B3582" s="22"/>
      <c r="C3582" s="22"/>
      <c r="D3582" s="22"/>
      <c r="E3582" s="22"/>
      <c r="F3582" s="22"/>
      <c r="G3582" s="22"/>
      <c r="H3582" s="22"/>
      <c r="I3582" s="22"/>
      <c r="J3582" s="22"/>
    </row>
    <row r="3584" spans="1:10" ht="15" x14ac:dyDescent="0.25">
      <c r="A3584" s="3" t="s">
        <v>2</v>
      </c>
      <c r="B3584" s="3" t="s">
        <v>3</v>
      </c>
      <c r="C3584" s="3" t="s">
        <v>4</v>
      </c>
      <c r="D3584" s="3" t="s">
        <v>5</v>
      </c>
      <c r="E3584" s="3" t="s">
        <v>6</v>
      </c>
      <c r="F3584" s="7" t="s">
        <v>7</v>
      </c>
      <c r="G3584" s="3" t="s">
        <v>8</v>
      </c>
      <c r="H3584" s="7" t="s">
        <v>9</v>
      </c>
      <c r="I3584" s="7" t="s">
        <v>10</v>
      </c>
      <c r="J3584" s="3" t="s">
        <v>11</v>
      </c>
    </row>
    <row r="3585" spans="1:10" ht="194.25" x14ac:dyDescent="0.2">
      <c r="A3585" s="2" t="s">
        <v>1802</v>
      </c>
      <c r="B3585" s="9">
        <v>1</v>
      </c>
      <c r="C3585" s="9">
        <v>1</v>
      </c>
      <c r="D3585" s="10" t="s">
        <v>13</v>
      </c>
      <c r="E3585" s="11" t="s">
        <v>1803</v>
      </c>
      <c r="F3585" s="12">
        <v>1</v>
      </c>
      <c r="G3585" s="10" t="s">
        <v>31</v>
      </c>
      <c r="H3585" s="13"/>
      <c r="I3585" s="13"/>
      <c r="J3585" s="10"/>
    </row>
    <row r="3586" spans="1:10" ht="134.25" x14ac:dyDescent="0.2">
      <c r="A3586" s="2" t="s">
        <v>1802</v>
      </c>
      <c r="B3586" s="9">
        <v>1</v>
      </c>
      <c r="C3586" s="9">
        <v>1</v>
      </c>
      <c r="D3586" s="10" t="s">
        <v>16</v>
      </c>
      <c r="E3586" s="11" t="s">
        <v>1716</v>
      </c>
      <c r="F3586" s="12">
        <v>248</v>
      </c>
      <c r="G3586" s="10" t="s">
        <v>109</v>
      </c>
      <c r="H3586" s="13"/>
      <c r="I3586" s="6"/>
      <c r="J3586" s="10"/>
    </row>
    <row r="3587" spans="1:10" ht="74.25" x14ac:dyDescent="0.2">
      <c r="A3587" s="2" t="s">
        <v>1802</v>
      </c>
      <c r="B3587" s="9">
        <v>1</v>
      </c>
      <c r="C3587" s="9">
        <v>1</v>
      </c>
      <c r="D3587" s="10" t="s">
        <v>18</v>
      </c>
      <c r="E3587" s="11" t="s">
        <v>1804</v>
      </c>
      <c r="F3587" s="12">
        <v>28.000000000000004</v>
      </c>
      <c r="G3587" s="10" t="s">
        <v>79</v>
      </c>
      <c r="H3587" s="13"/>
      <c r="I3587" s="13"/>
      <c r="J3587" s="10"/>
    </row>
    <row r="3588" spans="1:10" ht="74.25" x14ac:dyDescent="0.2">
      <c r="A3588" s="2" t="s">
        <v>1802</v>
      </c>
      <c r="B3588" s="9">
        <v>1</v>
      </c>
      <c r="C3588" s="9">
        <v>1</v>
      </c>
      <c r="D3588" s="10" t="s">
        <v>24</v>
      </c>
      <c r="E3588" s="11" t="s">
        <v>1761</v>
      </c>
      <c r="F3588" s="12">
        <v>101</v>
      </c>
      <c r="G3588" s="10" t="s">
        <v>109</v>
      </c>
      <c r="H3588" s="13"/>
      <c r="I3588" s="13"/>
      <c r="J3588" s="10"/>
    </row>
    <row r="3589" spans="1:10" x14ac:dyDescent="0.2">
      <c r="A3589" s="1" t="s">
        <v>1805</v>
      </c>
      <c r="B3589" s="1"/>
      <c r="C3589" s="1"/>
      <c r="D3589" s="1"/>
      <c r="E3589" s="1"/>
      <c r="F3589" s="1"/>
      <c r="G3589" s="1"/>
      <c r="H3589" s="1" t="s">
        <v>67</v>
      </c>
      <c r="I3589" s="13">
        <f>I3585+I3587+I3588</f>
        <v>0</v>
      </c>
      <c r="J3589" s="1"/>
    </row>
    <row r="3592" spans="1:10" ht="15" x14ac:dyDescent="0.25">
      <c r="A3592" s="21" t="s">
        <v>1806</v>
      </c>
      <c r="B3592" s="22"/>
      <c r="C3592" s="22"/>
      <c r="D3592" s="22"/>
      <c r="E3592" s="22"/>
      <c r="F3592" s="22"/>
      <c r="G3592" s="22"/>
      <c r="H3592" s="22"/>
      <c r="I3592" s="22"/>
      <c r="J3592" s="22"/>
    </row>
    <row r="3593" spans="1:10" ht="15" x14ac:dyDescent="0.25">
      <c r="A3593" s="21" t="s">
        <v>1801</v>
      </c>
      <c r="B3593" s="22"/>
      <c r="C3593" s="22"/>
      <c r="D3593" s="22"/>
      <c r="E3593" s="22"/>
      <c r="F3593" s="22"/>
      <c r="G3593" s="22"/>
      <c r="H3593" s="22"/>
      <c r="I3593" s="22"/>
      <c r="J3593" s="22"/>
    </row>
    <row r="3595" spans="1:10" ht="15" x14ac:dyDescent="0.25">
      <c r="A3595" s="3" t="s">
        <v>2</v>
      </c>
      <c r="B3595" s="3" t="s">
        <v>3</v>
      </c>
      <c r="C3595" s="3" t="s">
        <v>4</v>
      </c>
      <c r="D3595" s="3" t="s">
        <v>5</v>
      </c>
      <c r="E3595" s="3" t="s">
        <v>6</v>
      </c>
      <c r="F3595" s="7" t="s">
        <v>7</v>
      </c>
      <c r="G3595" s="3" t="s">
        <v>8</v>
      </c>
      <c r="H3595" s="7" t="s">
        <v>9</v>
      </c>
      <c r="I3595" s="7" t="s">
        <v>10</v>
      </c>
      <c r="J3595" s="3" t="s">
        <v>11</v>
      </c>
    </row>
    <row r="3596" spans="1:10" ht="89.25" x14ac:dyDescent="0.2">
      <c r="A3596" s="2" t="s">
        <v>1802</v>
      </c>
      <c r="B3596" s="9">
        <v>1</v>
      </c>
      <c r="C3596" s="9">
        <v>2</v>
      </c>
      <c r="D3596" s="10" t="s">
        <v>13</v>
      </c>
      <c r="E3596" s="11" t="s">
        <v>1717</v>
      </c>
      <c r="F3596" s="12">
        <v>16</v>
      </c>
      <c r="G3596" s="10" t="s">
        <v>83</v>
      </c>
      <c r="H3596" s="13"/>
      <c r="I3596" s="13"/>
      <c r="J3596" s="10"/>
    </row>
    <row r="3597" spans="1:10" ht="74.25" x14ac:dyDescent="0.2">
      <c r="A3597" s="2" t="s">
        <v>1802</v>
      </c>
      <c r="B3597" s="9">
        <v>1</v>
      </c>
      <c r="C3597" s="9">
        <v>2</v>
      </c>
      <c r="D3597" s="10" t="s">
        <v>16</v>
      </c>
      <c r="E3597" s="11" t="s">
        <v>85</v>
      </c>
      <c r="F3597" s="12">
        <v>1</v>
      </c>
      <c r="G3597" s="10" t="s">
        <v>15</v>
      </c>
      <c r="H3597" s="13"/>
      <c r="I3597" s="6"/>
      <c r="J3597" s="10"/>
    </row>
    <row r="3598" spans="1:10" x14ac:dyDescent="0.2">
      <c r="A3598" s="2" t="s">
        <v>1802</v>
      </c>
      <c r="B3598" s="9">
        <v>1</v>
      </c>
      <c r="C3598" s="9">
        <v>2</v>
      </c>
      <c r="D3598" s="10" t="s">
        <v>18</v>
      </c>
      <c r="E3598" s="11" t="s">
        <v>86</v>
      </c>
      <c r="F3598" s="12">
        <v>1</v>
      </c>
      <c r="G3598" s="10" t="s">
        <v>15</v>
      </c>
      <c r="H3598" s="13"/>
      <c r="I3598" s="6"/>
      <c r="J3598" s="10"/>
    </row>
    <row r="3599" spans="1:10" ht="44.25" x14ac:dyDescent="0.2">
      <c r="A3599" s="2" t="s">
        <v>1802</v>
      </c>
      <c r="B3599" s="9">
        <v>1</v>
      </c>
      <c r="C3599" s="9">
        <v>2</v>
      </c>
      <c r="D3599" s="10" t="s">
        <v>20</v>
      </c>
      <c r="E3599" s="11" t="s">
        <v>87</v>
      </c>
      <c r="F3599" s="12">
        <v>28.000000000000004</v>
      </c>
      <c r="G3599" s="10" t="s">
        <v>79</v>
      </c>
      <c r="H3599" s="13"/>
      <c r="I3599" s="13"/>
      <c r="J3599" s="10"/>
    </row>
    <row r="3600" spans="1:10" ht="74.25" x14ac:dyDescent="0.2">
      <c r="A3600" s="2" t="s">
        <v>1802</v>
      </c>
      <c r="B3600" s="9">
        <v>1</v>
      </c>
      <c r="C3600" s="9">
        <v>2</v>
      </c>
      <c r="D3600" s="10" t="s">
        <v>22</v>
      </c>
      <c r="E3600" s="11" t="s">
        <v>1225</v>
      </c>
      <c r="F3600" s="12">
        <v>101</v>
      </c>
      <c r="G3600" s="10" t="s">
        <v>109</v>
      </c>
      <c r="H3600" s="13"/>
      <c r="I3600" s="13"/>
      <c r="J3600" s="10"/>
    </row>
    <row r="3601" spans="1:10" x14ac:dyDescent="0.2">
      <c r="A3601" s="1" t="s">
        <v>1807</v>
      </c>
      <c r="B3601" s="1"/>
      <c r="C3601" s="1"/>
      <c r="D3601" s="1"/>
      <c r="E3601" s="1"/>
      <c r="F3601" s="1"/>
      <c r="G3601" s="1"/>
      <c r="H3601" s="1" t="s">
        <v>67</v>
      </c>
      <c r="I3601" s="13">
        <f>I3596+I3599+I3600</f>
        <v>0</v>
      </c>
      <c r="J3601" s="1"/>
    </row>
    <row r="3609" spans="1:10" ht="15" x14ac:dyDescent="0.25">
      <c r="A3609" s="3" t="s">
        <v>89</v>
      </c>
      <c r="B3609" s="14"/>
      <c r="C3609" s="14"/>
      <c r="D3609" s="14"/>
      <c r="E3609" s="14"/>
      <c r="F3609" s="14"/>
      <c r="G3609" s="14"/>
      <c r="H3609" s="14"/>
      <c r="I3609" s="7" t="s">
        <v>90</v>
      </c>
    </row>
    <row r="3610" spans="1:10" x14ac:dyDescent="0.2">
      <c r="A3610" s="15" t="s">
        <v>1808</v>
      </c>
      <c r="I3610" s="16">
        <f>I3589</f>
        <v>0</v>
      </c>
    </row>
    <row r="3611" spans="1:10" x14ac:dyDescent="0.2">
      <c r="A3611" s="15" t="s">
        <v>1809</v>
      </c>
      <c r="I3611" s="16">
        <f>I3601</f>
        <v>0</v>
      </c>
    </row>
    <row r="3612" spans="1:10" x14ac:dyDescent="0.2">
      <c r="A3612" s="15"/>
      <c r="I3612" s="15"/>
    </row>
    <row r="3613" spans="1:10" x14ac:dyDescent="0.2">
      <c r="A3613" s="17"/>
      <c r="B3613" s="18"/>
      <c r="C3613" s="18"/>
      <c r="D3613" s="18"/>
      <c r="E3613" s="18"/>
      <c r="F3613" s="18"/>
      <c r="G3613" s="18"/>
      <c r="H3613" s="18"/>
      <c r="I3613" s="17"/>
    </row>
    <row r="3614" spans="1:10" x14ac:dyDescent="0.2">
      <c r="H3614" s="4" t="s">
        <v>95</v>
      </c>
      <c r="I3614" s="13">
        <f>SUM(I3610:I3613)</f>
        <v>0</v>
      </c>
    </row>
    <row r="3618" spans="1:10" ht="15" x14ac:dyDescent="0.25">
      <c r="A3618" s="21" t="s">
        <v>1810</v>
      </c>
      <c r="B3618" s="22"/>
      <c r="C3618" s="22"/>
      <c r="D3618" s="22"/>
      <c r="E3618" s="22"/>
      <c r="F3618" s="22"/>
      <c r="G3618" s="22"/>
      <c r="H3618" s="22"/>
      <c r="I3618" s="22"/>
      <c r="J3618" s="22"/>
    </row>
    <row r="3619" spans="1:10" ht="15" x14ac:dyDescent="0.25">
      <c r="A3619" s="21" t="s">
        <v>1811</v>
      </c>
      <c r="B3619" s="22"/>
      <c r="C3619" s="22"/>
      <c r="D3619" s="22"/>
      <c r="E3619" s="22"/>
      <c r="F3619" s="22"/>
      <c r="G3619" s="22"/>
      <c r="H3619" s="22"/>
      <c r="I3619" s="22"/>
      <c r="J3619" s="22"/>
    </row>
    <row r="3621" spans="1:10" ht="15" x14ac:dyDescent="0.25">
      <c r="A3621" s="3" t="s">
        <v>2</v>
      </c>
      <c r="B3621" s="3" t="s">
        <v>3</v>
      </c>
      <c r="C3621" s="3" t="s">
        <v>4</v>
      </c>
      <c r="D3621" s="3" t="s">
        <v>5</v>
      </c>
      <c r="E3621" s="3" t="s">
        <v>6</v>
      </c>
      <c r="F3621" s="7" t="s">
        <v>7</v>
      </c>
      <c r="G3621" s="3" t="s">
        <v>8</v>
      </c>
      <c r="H3621" s="7" t="s">
        <v>9</v>
      </c>
      <c r="I3621" s="7" t="s">
        <v>10</v>
      </c>
      <c r="J3621" s="3" t="s">
        <v>11</v>
      </c>
    </row>
    <row r="3622" spans="1:10" ht="194.25" x14ac:dyDescent="0.2">
      <c r="A3622" s="2" t="s">
        <v>1812</v>
      </c>
      <c r="B3622" s="9">
        <v>1</v>
      </c>
      <c r="C3622" s="9">
        <v>1</v>
      </c>
      <c r="D3622" s="10" t="s">
        <v>13</v>
      </c>
      <c r="E3622" s="11" t="s">
        <v>1813</v>
      </c>
      <c r="F3622" s="12">
        <v>15</v>
      </c>
      <c r="G3622" s="10" t="s">
        <v>83</v>
      </c>
      <c r="H3622" s="13"/>
      <c r="I3622" s="13"/>
      <c r="J3622" s="10"/>
    </row>
    <row r="3623" spans="1:10" ht="44.25" x14ac:dyDescent="0.2">
      <c r="A3623" s="2" t="s">
        <v>1812</v>
      </c>
      <c r="B3623" s="9">
        <v>1</v>
      </c>
      <c r="C3623" s="9">
        <v>1</v>
      </c>
      <c r="D3623" s="10" t="s">
        <v>16</v>
      </c>
      <c r="E3623" s="11" t="s">
        <v>1249</v>
      </c>
      <c r="F3623" s="12">
        <v>11</v>
      </c>
      <c r="G3623" s="10" t="s">
        <v>83</v>
      </c>
      <c r="H3623" s="13"/>
      <c r="I3623" s="13"/>
      <c r="J3623" s="10"/>
    </row>
    <row r="3624" spans="1:10" ht="104.25" x14ac:dyDescent="0.2">
      <c r="A3624" s="2" t="s">
        <v>1812</v>
      </c>
      <c r="B3624" s="9">
        <v>1</v>
      </c>
      <c r="C3624" s="9">
        <v>1</v>
      </c>
      <c r="D3624" s="10" t="s">
        <v>18</v>
      </c>
      <c r="E3624" s="11" t="s">
        <v>1250</v>
      </c>
      <c r="F3624" s="12">
        <v>11</v>
      </c>
      <c r="G3624" s="10" t="s">
        <v>79</v>
      </c>
      <c r="H3624" s="13"/>
      <c r="I3624" s="13"/>
      <c r="J3624" s="10"/>
    </row>
    <row r="3625" spans="1:10" x14ac:dyDescent="0.2">
      <c r="A3625" s="2" t="s">
        <v>1812</v>
      </c>
      <c r="B3625" s="9">
        <v>1</v>
      </c>
      <c r="C3625" s="9">
        <v>1</v>
      </c>
      <c r="D3625" s="10" t="s">
        <v>20</v>
      </c>
      <c r="E3625" s="11" t="s">
        <v>1251</v>
      </c>
      <c r="F3625" s="12">
        <v>16</v>
      </c>
      <c r="G3625" s="10" t="s">
        <v>79</v>
      </c>
      <c r="H3625" s="13"/>
      <c r="I3625" s="13"/>
      <c r="J3625" s="10"/>
    </row>
    <row r="3626" spans="1:10" ht="74.25" x14ac:dyDescent="0.2">
      <c r="A3626" s="2" t="s">
        <v>1812</v>
      </c>
      <c r="B3626" s="9">
        <v>1</v>
      </c>
      <c r="C3626" s="9">
        <v>1</v>
      </c>
      <c r="D3626" s="10" t="s">
        <v>22</v>
      </c>
      <c r="E3626" s="11" t="s">
        <v>1254</v>
      </c>
      <c r="F3626" s="12">
        <v>175.00000000000003</v>
      </c>
      <c r="G3626" s="10" t="s">
        <v>109</v>
      </c>
      <c r="H3626" s="13"/>
      <c r="I3626" s="13"/>
      <c r="J3626" s="10"/>
    </row>
    <row r="3627" spans="1:10" x14ac:dyDescent="0.2">
      <c r="A3627" s="2" t="s">
        <v>1812</v>
      </c>
      <c r="B3627" s="9">
        <v>1</v>
      </c>
      <c r="C3627" s="9">
        <v>1</v>
      </c>
      <c r="D3627" s="10" t="s">
        <v>24</v>
      </c>
      <c r="E3627" s="11" t="s">
        <v>1255</v>
      </c>
      <c r="F3627" s="12">
        <v>107</v>
      </c>
      <c r="G3627" s="10" t="s">
        <v>109</v>
      </c>
      <c r="H3627" s="13"/>
      <c r="I3627" s="13"/>
      <c r="J3627" s="10"/>
    </row>
    <row r="3628" spans="1:10" x14ac:dyDescent="0.2">
      <c r="A3628" s="2" t="s">
        <v>1812</v>
      </c>
      <c r="B3628" s="9">
        <v>1</v>
      </c>
      <c r="C3628" s="9">
        <v>1</v>
      </c>
      <c r="D3628" s="10" t="s">
        <v>27</v>
      </c>
      <c r="E3628" s="11" t="s">
        <v>1256</v>
      </c>
      <c r="F3628" s="12">
        <v>107</v>
      </c>
      <c r="G3628" s="10" t="s">
        <v>109</v>
      </c>
      <c r="H3628" s="13"/>
      <c r="I3628" s="13"/>
      <c r="J3628" s="10"/>
    </row>
    <row r="3629" spans="1:10" x14ac:dyDescent="0.2">
      <c r="A3629" s="1" t="s">
        <v>1814</v>
      </c>
      <c r="B3629" s="1"/>
      <c r="C3629" s="1"/>
      <c r="D3629" s="1"/>
      <c r="E3629" s="1"/>
      <c r="F3629" s="1"/>
      <c r="G3629" s="1"/>
      <c r="H3629" s="1" t="s">
        <v>67</v>
      </c>
      <c r="I3629" s="13">
        <f>I3622+I3623+I3624+I3625+I3626+I3627+I3628</f>
        <v>0</v>
      </c>
      <c r="J3629" s="1"/>
    </row>
    <row r="3632" spans="1:10" ht="15" x14ac:dyDescent="0.25">
      <c r="A3632" s="21" t="s">
        <v>1815</v>
      </c>
      <c r="B3632" s="22"/>
      <c r="C3632" s="22"/>
      <c r="D3632" s="22"/>
      <c r="E3632" s="22"/>
      <c r="F3632" s="22"/>
      <c r="G3632" s="22"/>
      <c r="H3632" s="22"/>
      <c r="I3632" s="22"/>
      <c r="J3632" s="22"/>
    </row>
    <row r="3633" spans="1:10" ht="15" x14ac:dyDescent="0.25">
      <c r="A3633" s="21" t="s">
        <v>1811</v>
      </c>
      <c r="B3633" s="22"/>
      <c r="C3633" s="22"/>
      <c r="D3633" s="22"/>
      <c r="E3633" s="22"/>
      <c r="F3633" s="22"/>
      <c r="G3633" s="22"/>
      <c r="H3633" s="22"/>
      <c r="I3633" s="22"/>
      <c r="J3633" s="22"/>
    </row>
    <row r="3635" spans="1:10" ht="15" x14ac:dyDescent="0.25">
      <c r="A3635" s="3" t="s">
        <v>2</v>
      </c>
      <c r="B3635" s="3" t="s">
        <v>3</v>
      </c>
      <c r="C3635" s="3" t="s">
        <v>4</v>
      </c>
      <c r="D3635" s="3" t="s">
        <v>5</v>
      </c>
      <c r="E3635" s="3" t="s">
        <v>6</v>
      </c>
      <c r="F3635" s="7" t="s">
        <v>7</v>
      </c>
      <c r="G3635" s="3" t="s">
        <v>8</v>
      </c>
      <c r="H3635" s="7" t="s">
        <v>9</v>
      </c>
      <c r="I3635" s="7" t="s">
        <v>10</v>
      </c>
      <c r="J3635" s="3" t="s">
        <v>11</v>
      </c>
    </row>
    <row r="3636" spans="1:10" ht="149.25" x14ac:dyDescent="0.2">
      <c r="A3636" s="2" t="s">
        <v>1812</v>
      </c>
      <c r="B3636" s="9">
        <v>1</v>
      </c>
      <c r="C3636" s="9">
        <v>2</v>
      </c>
      <c r="D3636" s="10" t="s">
        <v>13</v>
      </c>
      <c r="E3636" s="11" t="s">
        <v>1816</v>
      </c>
      <c r="F3636" s="12">
        <v>315</v>
      </c>
      <c r="G3636" s="10" t="s">
        <v>109</v>
      </c>
      <c r="H3636" s="13"/>
      <c r="I3636" s="13"/>
      <c r="J3636" s="10"/>
    </row>
    <row r="3637" spans="1:10" ht="89.25" x14ac:dyDescent="0.2">
      <c r="A3637" s="2" t="s">
        <v>1812</v>
      </c>
      <c r="B3637" s="9">
        <v>1</v>
      </c>
      <c r="C3637" s="9">
        <v>2</v>
      </c>
      <c r="D3637" s="10" t="s">
        <v>16</v>
      </c>
      <c r="E3637" s="11" t="s">
        <v>1817</v>
      </c>
      <c r="F3637" s="12">
        <v>68</v>
      </c>
      <c r="G3637" s="10" t="s">
        <v>109</v>
      </c>
      <c r="H3637" s="13"/>
      <c r="I3637" s="13"/>
      <c r="J3637" s="10"/>
    </row>
    <row r="3638" spans="1:10" ht="119.25" x14ac:dyDescent="0.2">
      <c r="A3638" s="2" t="s">
        <v>1812</v>
      </c>
      <c r="B3638" s="9">
        <v>1</v>
      </c>
      <c r="C3638" s="9">
        <v>2</v>
      </c>
      <c r="D3638" s="10" t="s">
        <v>18</v>
      </c>
      <c r="E3638" s="11" t="s">
        <v>1775</v>
      </c>
      <c r="F3638" s="12">
        <v>169</v>
      </c>
      <c r="G3638" s="10" t="s">
        <v>109</v>
      </c>
      <c r="H3638" s="13"/>
      <c r="I3638" s="13"/>
      <c r="J3638" s="10"/>
    </row>
    <row r="3639" spans="1:10" ht="104.25" x14ac:dyDescent="0.2">
      <c r="A3639" s="2" t="s">
        <v>1812</v>
      </c>
      <c r="B3639" s="9">
        <v>1</v>
      </c>
      <c r="C3639" s="9">
        <v>2</v>
      </c>
      <c r="D3639" s="10" t="s">
        <v>20</v>
      </c>
      <c r="E3639" s="11" t="s">
        <v>1539</v>
      </c>
      <c r="F3639" s="12">
        <v>6</v>
      </c>
      <c r="G3639" s="10" t="s">
        <v>109</v>
      </c>
      <c r="H3639" s="13"/>
      <c r="I3639" s="13"/>
      <c r="J3639" s="10"/>
    </row>
    <row r="3640" spans="1:10" x14ac:dyDescent="0.2">
      <c r="A3640" s="1" t="s">
        <v>1818</v>
      </c>
      <c r="B3640" s="1"/>
      <c r="C3640" s="1"/>
      <c r="D3640" s="1"/>
      <c r="E3640" s="1"/>
      <c r="F3640" s="1"/>
      <c r="G3640" s="1"/>
      <c r="H3640" s="1" t="s">
        <v>67</v>
      </c>
      <c r="I3640" s="13">
        <f>I3636+I3637+I3638+I3639</f>
        <v>0</v>
      </c>
      <c r="J3640" s="1"/>
    </row>
    <row r="3648" spans="1:10" ht="15" x14ac:dyDescent="0.25">
      <c r="A3648" s="3" t="s">
        <v>89</v>
      </c>
      <c r="B3648" s="14"/>
      <c r="C3648" s="14"/>
      <c r="D3648" s="14"/>
      <c r="E3648" s="14"/>
      <c r="F3648" s="14"/>
      <c r="G3648" s="14"/>
      <c r="H3648" s="14"/>
      <c r="I3648" s="7" t="s">
        <v>90</v>
      </c>
    </row>
    <row r="3649" spans="1:10" x14ac:dyDescent="0.2">
      <c r="A3649" s="15" t="s">
        <v>1819</v>
      </c>
      <c r="I3649" s="16">
        <f>I3629</f>
        <v>0</v>
      </c>
    </row>
    <row r="3650" spans="1:10" x14ac:dyDescent="0.2">
      <c r="A3650" s="15" t="s">
        <v>1820</v>
      </c>
      <c r="I3650" s="16">
        <f>I3640</f>
        <v>0</v>
      </c>
    </row>
    <row r="3651" spans="1:10" x14ac:dyDescent="0.2">
      <c r="A3651" s="15"/>
      <c r="I3651" s="15"/>
    </row>
    <row r="3652" spans="1:10" x14ac:dyDescent="0.2">
      <c r="A3652" s="17"/>
      <c r="B3652" s="18"/>
      <c r="C3652" s="18"/>
      <c r="D3652" s="18"/>
      <c r="E3652" s="18"/>
      <c r="F3652" s="18"/>
      <c r="G3652" s="18"/>
      <c r="H3652" s="18"/>
      <c r="I3652" s="17"/>
    </row>
    <row r="3653" spans="1:10" x14ac:dyDescent="0.2">
      <c r="H3653" s="4" t="s">
        <v>95</v>
      </c>
      <c r="I3653" s="13">
        <f>SUM(I3649:I3652)</f>
        <v>0</v>
      </c>
    </row>
    <row r="3657" spans="1:10" ht="15" x14ac:dyDescent="0.25">
      <c r="A3657" s="21" t="s">
        <v>1821</v>
      </c>
      <c r="B3657" s="22"/>
      <c r="C3657" s="22"/>
      <c r="D3657" s="22"/>
      <c r="E3657" s="22"/>
      <c r="F3657" s="22"/>
      <c r="G3657" s="22"/>
      <c r="H3657" s="22"/>
      <c r="I3657" s="22"/>
      <c r="J3657" s="22"/>
    </row>
    <row r="3658" spans="1:10" ht="15" x14ac:dyDescent="0.25">
      <c r="A3658" s="21" t="s">
        <v>1822</v>
      </c>
      <c r="B3658" s="22"/>
      <c r="C3658" s="22"/>
      <c r="D3658" s="22"/>
      <c r="E3658" s="22"/>
      <c r="F3658" s="22"/>
      <c r="G3658" s="22"/>
      <c r="H3658" s="22"/>
      <c r="I3658" s="22"/>
      <c r="J3658" s="22"/>
    </row>
    <row r="3660" spans="1:10" ht="15" x14ac:dyDescent="0.25">
      <c r="A3660" s="3" t="s">
        <v>2</v>
      </c>
      <c r="B3660" s="3" t="s">
        <v>3</v>
      </c>
      <c r="C3660" s="3" t="s">
        <v>4</v>
      </c>
      <c r="D3660" s="3" t="s">
        <v>5</v>
      </c>
      <c r="E3660" s="3" t="s">
        <v>6</v>
      </c>
      <c r="F3660" s="7" t="s">
        <v>7</v>
      </c>
      <c r="G3660" s="3" t="s">
        <v>8</v>
      </c>
      <c r="H3660" s="7" t="s">
        <v>9</v>
      </c>
      <c r="I3660" s="7" t="s">
        <v>10</v>
      </c>
      <c r="J3660" s="3" t="s">
        <v>11</v>
      </c>
    </row>
    <row r="3661" spans="1:10" ht="164.25" x14ac:dyDescent="0.2">
      <c r="A3661" s="2" t="s">
        <v>1823</v>
      </c>
      <c r="B3661" s="9">
        <v>1</v>
      </c>
      <c r="C3661" s="9">
        <v>1</v>
      </c>
      <c r="D3661" s="10" t="s">
        <v>13</v>
      </c>
      <c r="E3661" s="11" t="s">
        <v>1824</v>
      </c>
      <c r="F3661" s="12">
        <v>6</v>
      </c>
      <c r="G3661" s="10" t="s">
        <v>83</v>
      </c>
      <c r="H3661" s="13"/>
      <c r="I3661" s="13"/>
      <c r="J3661" s="10"/>
    </row>
    <row r="3662" spans="1:10" ht="89.25" x14ac:dyDescent="0.2">
      <c r="A3662" s="2" t="s">
        <v>1823</v>
      </c>
      <c r="B3662" s="9">
        <v>1</v>
      </c>
      <c r="C3662" s="9">
        <v>1</v>
      </c>
      <c r="D3662" s="10" t="s">
        <v>16</v>
      </c>
      <c r="E3662" s="11" t="s">
        <v>1162</v>
      </c>
      <c r="F3662" s="12">
        <v>6</v>
      </c>
      <c r="G3662" s="10" t="s">
        <v>83</v>
      </c>
      <c r="H3662" s="13"/>
      <c r="I3662" s="13"/>
      <c r="J3662" s="10"/>
    </row>
    <row r="3663" spans="1:10" ht="74.25" x14ac:dyDescent="0.2">
      <c r="A3663" s="2" t="s">
        <v>1823</v>
      </c>
      <c r="B3663" s="9">
        <v>1</v>
      </c>
      <c r="C3663" s="9">
        <v>1</v>
      </c>
      <c r="D3663" s="10" t="s">
        <v>18</v>
      </c>
      <c r="E3663" s="11" t="s">
        <v>1341</v>
      </c>
      <c r="F3663" s="12">
        <v>6</v>
      </c>
      <c r="G3663" s="10" t="s">
        <v>83</v>
      </c>
      <c r="H3663" s="13"/>
      <c r="I3663" s="13"/>
      <c r="J3663" s="10"/>
    </row>
    <row r="3664" spans="1:10" x14ac:dyDescent="0.2">
      <c r="A3664" s="2" t="s">
        <v>1823</v>
      </c>
      <c r="B3664" s="9">
        <v>1</v>
      </c>
      <c r="C3664" s="9">
        <v>1</v>
      </c>
      <c r="D3664" s="10" t="s">
        <v>20</v>
      </c>
      <c r="E3664" s="11" t="s">
        <v>1168</v>
      </c>
      <c r="F3664" s="12">
        <v>4</v>
      </c>
      <c r="G3664" s="10" t="s">
        <v>31</v>
      </c>
      <c r="H3664" s="13"/>
      <c r="I3664" s="13"/>
      <c r="J3664" s="10"/>
    </row>
    <row r="3665" spans="1:10" x14ac:dyDescent="0.2">
      <c r="A3665" s="2" t="s">
        <v>1823</v>
      </c>
      <c r="B3665" s="9">
        <v>1</v>
      </c>
      <c r="C3665" s="9">
        <v>1</v>
      </c>
      <c r="D3665" s="10" t="s">
        <v>22</v>
      </c>
      <c r="E3665" s="11" t="s">
        <v>1738</v>
      </c>
      <c r="F3665" s="12">
        <v>1</v>
      </c>
      <c r="G3665" s="10" t="s">
        <v>31</v>
      </c>
      <c r="H3665" s="13"/>
      <c r="I3665" s="13"/>
      <c r="J3665" s="10"/>
    </row>
    <row r="3666" spans="1:10" ht="104.25" x14ac:dyDescent="0.2">
      <c r="A3666" s="2" t="s">
        <v>1823</v>
      </c>
      <c r="B3666" s="9">
        <v>1</v>
      </c>
      <c r="C3666" s="9">
        <v>1</v>
      </c>
      <c r="D3666" s="10" t="s">
        <v>24</v>
      </c>
      <c r="E3666" s="11" t="s">
        <v>1825</v>
      </c>
      <c r="F3666" s="12">
        <v>1</v>
      </c>
      <c r="G3666" s="10" t="s">
        <v>31</v>
      </c>
      <c r="H3666" s="13"/>
      <c r="I3666" s="13"/>
      <c r="J3666" s="10"/>
    </row>
    <row r="3667" spans="1:10" ht="28.5" x14ac:dyDescent="0.2">
      <c r="A3667" s="2" t="s">
        <v>1823</v>
      </c>
      <c r="B3667" s="9">
        <v>1</v>
      </c>
      <c r="C3667" s="9">
        <v>1</v>
      </c>
      <c r="D3667" s="10" t="s">
        <v>27</v>
      </c>
      <c r="E3667" s="11" t="s">
        <v>1743</v>
      </c>
      <c r="F3667" s="12">
        <v>1</v>
      </c>
      <c r="G3667" s="10" t="s">
        <v>15</v>
      </c>
      <c r="H3667" s="13"/>
      <c r="I3667" s="13"/>
      <c r="J3667" s="10"/>
    </row>
    <row r="3668" spans="1:10" x14ac:dyDescent="0.2">
      <c r="A3668" s="1" t="s">
        <v>1826</v>
      </c>
      <c r="B3668" s="1"/>
      <c r="C3668" s="1"/>
      <c r="D3668" s="1"/>
      <c r="E3668" s="1"/>
      <c r="F3668" s="1"/>
      <c r="G3668" s="1"/>
      <c r="H3668" s="1" t="s">
        <v>67</v>
      </c>
      <c r="I3668" s="13">
        <f>I3661+I3662+I3663+I3664+I3665+I3666+I3667</f>
        <v>0</v>
      </c>
      <c r="J3668" s="1"/>
    </row>
    <row r="3671" spans="1:10" ht="15" x14ac:dyDescent="0.25">
      <c r="A3671" s="21" t="s">
        <v>1827</v>
      </c>
      <c r="B3671" s="22"/>
      <c r="C3671" s="22"/>
      <c r="D3671" s="22"/>
      <c r="E3671" s="22"/>
      <c r="F3671" s="22"/>
      <c r="G3671" s="22"/>
      <c r="H3671" s="22"/>
      <c r="I3671" s="22"/>
      <c r="J3671" s="22"/>
    </row>
    <row r="3672" spans="1:10" ht="15" x14ac:dyDescent="0.25">
      <c r="A3672" s="21" t="s">
        <v>1822</v>
      </c>
      <c r="B3672" s="22"/>
      <c r="C3672" s="22"/>
      <c r="D3672" s="22"/>
      <c r="E3672" s="22"/>
      <c r="F3672" s="22"/>
      <c r="G3672" s="22"/>
      <c r="H3672" s="22"/>
      <c r="I3672" s="22"/>
      <c r="J3672" s="22"/>
    </row>
    <row r="3674" spans="1:10" ht="15" x14ac:dyDescent="0.25">
      <c r="A3674" s="3" t="s">
        <v>2</v>
      </c>
      <c r="B3674" s="3" t="s">
        <v>3</v>
      </c>
      <c r="C3674" s="3" t="s">
        <v>4</v>
      </c>
      <c r="D3674" s="3" t="s">
        <v>5</v>
      </c>
      <c r="E3674" s="3" t="s">
        <v>6</v>
      </c>
      <c r="F3674" s="7" t="s">
        <v>7</v>
      </c>
      <c r="G3674" s="3" t="s">
        <v>8</v>
      </c>
      <c r="H3674" s="7" t="s">
        <v>9</v>
      </c>
      <c r="I3674" s="7" t="s">
        <v>10</v>
      </c>
      <c r="J3674" s="3" t="s">
        <v>11</v>
      </c>
    </row>
    <row r="3675" spans="1:10" ht="104.25" x14ac:dyDescent="0.2">
      <c r="A3675" s="2" t="s">
        <v>1823</v>
      </c>
      <c r="B3675" s="9">
        <v>1</v>
      </c>
      <c r="C3675" s="9">
        <v>2</v>
      </c>
      <c r="D3675" s="10" t="s">
        <v>13</v>
      </c>
      <c r="E3675" s="11" t="s">
        <v>1828</v>
      </c>
      <c r="F3675" s="12">
        <v>6</v>
      </c>
      <c r="G3675" s="10" t="s">
        <v>83</v>
      </c>
      <c r="H3675" s="13"/>
      <c r="I3675" s="13"/>
      <c r="J3675" s="10"/>
    </row>
    <row r="3676" spans="1:10" ht="74.25" x14ac:dyDescent="0.2">
      <c r="A3676" s="2" t="s">
        <v>1823</v>
      </c>
      <c r="B3676" s="9">
        <v>1</v>
      </c>
      <c r="C3676" s="9">
        <v>2</v>
      </c>
      <c r="D3676" s="10" t="s">
        <v>16</v>
      </c>
      <c r="E3676" s="11" t="s">
        <v>1199</v>
      </c>
      <c r="F3676" s="12">
        <v>1</v>
      </c>
      <c r="G3676" s="10" t="s">
        <v>15</v>
      </c>
      <c r="H3676" s="13"/>
      <c r="I3676" s="13"/>
      <c r="J3676" s="10"/>
    </row>
    <row r="3677" spans="1:10" x14ac:dyDescent="0.2">
      <c r="A3677" s="2" t="s">
        <v>1823</v>
      </c>
      <c r="B3677" s="9">
        <v>1</v>
      </c>
      <c r="C3677" s="9">
        <v>2</v>
      </c>
      <c r="D3677" s="10" t="s">
        <v>18</v>
      </c>
      <c r="E3677" s="11" t="s">
        <v>1200</v>
      </c>
      <c r="F3677" s="12">
        <v>1</v>
      </c>
      <c r="G3677" s="10" t="s">
        <v>15</v>
      </c>
      <c r="H3677" s="13"/>
      <c r="I3677" s="13"/>
      <c r="J3677" s="10"/>
    </row>
    <row r="3678" spans="1:10" ht="44.25" x14ac:dyDescent="0.2">
      <c r="A3678" s="2" t="s">
        <v>1823</v>
      </c>
      <c r="B3678" s="9">
        <v>1</v>
      </c>
      <c r="C3678" s="9">
        <v>2</v>
      </c>
      <c r="D3678" s="10" t="s">
        <v>20</v>
      </c>
      <c r="E3678" s="11" t="s">
        <v>1347</v>
      </c>
      <c r="F3678" s="12">
        <v>1</v>
      </c>
      <c r="G3678" s="10" t="s">
        <v>15</v>
      </c>
      <c r="H3678" s="13"/>
      <c r="I3678" s="13"/>
      <c r="J3678" s="10"/>
    </row>
    <row r="3679" spans="1:10" ht="74.25" x14ac:dyDescent="0.2">
      <c r="A3679" s="2" t="s">
        <v>1823</v>
      </c>
      <c r="B3679" s="9">
        <v>1</v>
      </c>
      <c r="C3679" s="9">
        <v>2</v>
      </c>
      <c r="D3679" s="10" t="s">
        <v>22</v>
      </c>
      <c r="E3679" s="11" t="s">
        <v>1207</v>
      </c>
      <c r="F3679" s="12">
        <v>1</v>
      </c>
      <c r="G3679" s="10" t="s">
        <v>15</v>
      </c>
      <c r="H3679" s="13"/>
      <c r="I3679" s="13"/>
      <c r="J3679" s="10"/>
    </row>
    <row r="3680" spans="1:10" x14ac:dyDescent="0.2">
      <c r="A3680" s="1" t="s">
        <v>1829</v>
      </c>
      <c r="B3680" s="1"/>
      <c r="C3680" s="1"/>
      <c r="D3680" s="1"/>
      <c r="E3680" s="1"/>
      <c r="F3680" s="1"/>
      <c r="G3680" s="1"/>
      <c r="H3680" s="1" t="s">
        <v>67</v>
      </c>
      <c r="I3680" s="13">
        <f>I3675+I3676+I3677+I3678+I3679</f>
        <v>0</v>
      </c>
      <c r="J3680" s="1"/>
    </row>
    <row r="3688" spans="1:9" ht="15" x14ac:dyDescent="0.25">
      <c r="A3688" s="3" t="s">
        <v>89</v>
      </c>
      <c r="B3688" s="14"/>
      <c r="C3688" s="14"/>
      <c r="D3688" s="14"/>
      <c r="E3688" s="14"/>
      <c r="F3688" s="14"/>
      <c r="G3688" s="14"/>
      <c r="H3688" s="14"/>
      <c r="I3688" s="7" t="s">
        <v>90</v>
      </c>
    </row>
    <row r="3689" spans="1:9" x14ac:dyDescent="0.2">
      <c r="A3689" s="15" t="s">
        <v>1830</v>
      </c>
      <c r="I3689" s="16">
        <f>I3668</f>
        <v>0</v>
      </c>
    </row>
    <row r="3690" spans="1:9" x14ac:dyDescent="0.2">
      <c r="A3690" s="15" t="s">
        <v>1831</v>
      </c>
      <c r="I3690" s="16">
        <f>I3680</f>
        <v>0</v>
      </c>
    </row>
    <row r="3691" spans="1:9" x14ac:dyDescent="0.2">
      <c r="A3691" s="15"/>
      <c r="I3691" s="15"/>
    </row>
    <row r="3692" spans="1:9" x14ac:dyDescent="0.2">
      <c r="A3692" s="17"/>
      <c r="B3692" s="18"/>
      <c r="C3692" s="18"/>
      <c r="D3692" s="18"/>
      <c r="E3692" s="18"/>
      <c r="F3692" s="18"/>
      <c r="G3692" s="18"/>
      <c r="H3692" s="18"/>
      <c r="I3692" s="17"/>
    </row>
    <row r="3693" spans="1:9" x14ac:dyDescent="0.2">
      <c r="H3693" s="4" t="s">
        <v>95</v>
      </c>
      <c r="I3693" s="13">
        <f>SUM(I3689:I3692)</f>
        <v>0</v>
      </c>
    </row>
    <row r="3697" spans="1:10" ht="15" x14ac:dyDescent="0.25">
      <c r="A3697" s="21" t="s">
        <v>1832</v>
      </c>
      <c r="B3697" s="22"/>
      <c r="C3697" s="22"/>
      <c r="D3697" s="22"/>
      <c r="E3697" s="22"/>
      <c r="F3697" s="22"/>
      <c r="G3697" s="22"/>
      <c r="H3697" s="22"/>
      <c r="I3697" s="22"/>
      <c r="J3697" s="22"/>
    </row>
    <row r="3698" spans="1:10" ht="15" x14ac:dyDescent="0.25">
      <c r="A3698" s="21" t="s">
        <v>1833</v>
      </c>
      <c r="B3698" s="22"/>
      <c r="C3698" s="22"/>
      <c r="D3698" s="22"/>
      <c r="E3698" s="22"/>
      <c r="F3698" s="22"/>
      <c r="G3698" s="22"/>
      <c r="H3698" s="22"/>
      <c r="I3698" s="22"/>
      <c r="J3698" s="22"/>
    </row>
    <row r="3700" spans="1:10" ht="15" x14ac:dyDescent="0.25">
      <c r="A3700" s="3" t="s">
        <v>2</v>
      </c>
      <c r="B3700" s="3" t="s">
        <v>3</v>
      </c>
      <c r="C3700" s="3" t="s">
        <v>4</v>
      </c>
      <c r="D3700" s="3" t="s">
        <v>5</v>
      </c>
      <c r="E3700" s="3" t="s">
        <v>6</v>
      </c>
      <c r="F3700" s="7" t="s">
        <v>7</v>
      </c>
      <c r="G3700" s="3" t="s">
        <v>8</v>
      </c>
      <c r="H3700" s="7" t="s">
        <v>9</v>
      </c>
      <c r="I3700" s="7" t="s">
        <v>10</v>
      </c>
      <c r="J3700" s="3" t="s">
        <v>11</v>
      </c>
    </row>
    <row r="3701" spans="1:10" x14ac:dyDescent="0.2">
      <c r="A3701" s="2" t="s">
        <v>1834</v>
      </c>
      <c r="B3701" s="9">
        <v>1</v>
      </c>
      <c r="C3701" s="9">
        <v>1</v>
      </c>
      <c r="D3701" s="10" t="s">
        <v>13</v>
      </c>
      <c r="E3701" s="11" t="s">
        <v>1304</v>
      </c>
      <c r="F3701" s="12">
        <v>0</v>
      </c>
      <c r="G3701" s="10"/>
      <c r="H3701" s="13"/>
      <c r="I3701" s="6"/>
      <c r="J3701" s="10"/>
    </row>
    <row r="3702" spans="1:10" x14ac:dyDescent="0.2">
      <c r="A3702" s="1" t="s">
        <v>1835</v>
      </c>
      <c r="B3702" s="1"/>
      <c r="C3702" s="1"/>
      <c r="D3702" s="1"/>
      <c r="E3702" s="1"/>
      <c r="F3702" s="1"/>
      <c r="G3702" s="1"/>
      <c r="H3702" s="1" t="s">
        <v>67</v>
      </c>
      <c r="I3702" s="13"/>
      <c r="J3702" s="1"/>
    </row>
    <row r="3710" spans="1:10" ht="15" x14ac:dyDescent="0.25">
      <c r="A3710" s="3" t="s">
        <v>89</v>
      </c>
      <c r="B3710" s="14"/>
      <c r="C3710" s="14"/>
      <c r="D3710" s="14"/>
      <c r="E3710" s="14"/>
      <c r="F3710" s="14"/>
      <c r="G3710" s="14"/>
      <c r="H3710" s="14"/>
      <c r="I3710" s="7" t="s">
        <v>90</v>
      </c>
    </row>
    <row r="3711" spans="1:10" x14ac:dyDescent="0.2">
      <c r="A3711" s="15" t="s">
        <v>1836</v>
      </c>
      <c r="I3711" s="16">
        <f>I3702</f>
        <v>0</v>
      </c>
    </row>
    <row r="3712" spans="1:10" x14ac:dyDescent="0.2">
      <c r="A3712" s="15"/>
      <c r="I3712" s="15"/>
    </row>
    <row r="3713" spans="1:10" x14ac:dyDescent="0.2">
      <c r="A3713" s="17"/>
      <c r="B3713" s="18"/>
      <c r="C3713" s="18"/>
      <c r="D3713" s="18"/>
      <c r="E3713" s="18"/>
      <c r="F3713" s="18"/>
      <c r="G3713" s="18"/>
      <c r="H3713" s="18"/>
      <c r="I3713" s="17"/>
    </row>
    <row r="3714" spans="1:10" x14ac:dyDescent="0.2">
      <c r="H3714" s="4" t="s">
        <v>95</v>
      </c>
      <c r="I3714" s="13">
        <f>SUM(I3711:I3713)</f>
        <v>0</v>
      </c>
    </row>
    <row r="3718" spans="1:10" ht="15" x14ac:dyDescent="0.25">
      <c r="A3718" s="21" t="s">
        <v>1837</v>
      </c>
      <c r="B3718" s="22"/>
      <c r="C3718" s="22"/>
      <c r="D3718" s="22"/>
      <c r="E3718" s="22"/>
      <c r="F3718" s="22"/>
      <c r="G3718" s="22"/>
      <c r="H3718" s="22"/>
      <c r="I3718" s="22"/>
      <c r="J3718" s="22"/>
    </row>
    <row r="3719" spans="1:10" ht="15" x14ac:dyDescent="0.25">
      <c r="A3719" s="21" t="s">
        <v>1838</v>
      </c>
      <c r="B3719" s="22"/>
      <c r="C3719" s="22"/>
      <c r="D3719" s="22"/>
      <c r="E3719" s="22"/>
      <c r="F3719" s="22"/>
      <c r="G3719" s="22"/>
      <c r="H3719" s="22"/>
      <c r="I3719" s="22"/>
      <c r="J3719" s="22"/>
    </row>
    <row r="3721" spans="1:10" ht="15" x14ac:dyDescent="0.25">
      <c r="A3721" s="3" t="s">
        <v>2</v>
      </c>
      <c r="B3721" s="3" t="s">
        <v>3</v>
      </c>
      <c r="C3721" s="3" t="s">
        <v>4</v>
      </c>
      <c r="D3721" s="3" t="s">
        <v>5</v>
      </c>
      <c r="E3721" s="3" t="s">
        <v>6</v>
      </c>
      <c r="F3721" s="7" t="s">
        <v>7</v>
      </c>
      <c r="G3721" s="3" t="s">
        <v>8</v>
      </c>
      <c r="H3721" s="7" t="s">
        <v>9</v>
      </c>
      <c r="I3721" s="7" t="s">
        <v>10</v>
      </c>
      <c r="J3721" s="3" t="s">
        <v>11</v>
      </c>
    </row>
    <row r="3722" spans="1:10" ht="134.25" x14ac:dyDescent="0.2">
      <c r="A3722" s="2" t="s">
        <v>1839</v>
      </c>
      <c r="B3722" s="9">
        <v>1</v>
      </c>
      <c r="C3722" s="9">
        <v>1</v>
      </c>
      <c r="D3722" s="10" t="s">
        <v>13</v>
      </c>
      <c r="E3722" s="11" t="s">
        <v>1716</v>
      </c>
      <c r="F3722" s="12">
        <v>128</v>
      </c>
      <c r="G3722" s="10" t="s">
        <v>109</v>
      </c>
      <c r="H3722" s="13"/>
      <c r="I3722" s="6"/>
      <c r="J3722" s="10"/>
    </row>
    <row r="3723" spans="1:10" ht="89.25" x14ac:dyDescent="0.2">
      <c r="A3723" s="2" t="s">
        <v>1839</v>
      </c>
      <c r="B3723" s="9">
        <v>1</v>
      </c>
      <c r="C3723" s="9">
        <v>1</v>
      </c>
      <c r="D3723" s="10" t="s">
        <v>16</v>
      </c>
      <c r="E3723" s="11" t="s">
        <v>1717</v>
      </c>
      <c r="F3723" s="12">
        <v>7.0000000000000009</v>
      </c>
      <c r="G3723" s="10" t="s">
        <v>83</v>
      </c>
      <c r="H3723" s="13"/>
      <c r="I3723" s="13"/>
      <c r="J3723" s="10"/>
    </row>
    <row r="3724" spans="1:10" x14ac:dyDescent="0.2">
      <c r="A3724" s="1" t="s">
        <v>1840</v>
      </c>
      <c r="B3724" s="1"/>
      <c r="C3724" s="1"/>
      <c r="D3724" s="1"/>
      <c r="E3724" s="1"/>
      <c r="F3724" s="1"/>
      <c r="G3724" s="1"/>
      <c r="H3724" s="1" t="s">
        <v>67</v>
      </c>
      <c r="I3724" s="13">
        <f>I3723</f>
        <v>0</v>
      </c>
      <c r="J3724" s="1"/>
    </row>
    <row r="3732" spans="1:10" ht="15" x14ac:dyDescent="0.25">
      <c r="A3732" s="3" t="s">
        <v>89</v>
      </c>
      <c r="B3732" s="14"/>
      <c r="C3732" s="14"/>
      <c r="D3732" s="14"/>
      <c r="E3732" s="14"/>
      <c r="F3732" s="14"/>
      <c r="G3732" s="14"/>
      <c r="H3732" s="14"/>
      <c r="I3732" s="7" t="s">
        <v>90</v>
      </c>
    </row>
    <row r="3733" spans="1:10" x14ac:dyDescent="0.2">
      <c r="A3733" s="15" t="s">
        <v>1841</v>
      </c>
      <c r="I3733" s="16">
        <f>I3724</f>
        <v>0</v>
      </c>
    </row>
    <row r="3734" spans="1:10" x14ac:dyDescent="0.2">
      <c r="A3734" s="15"/>
      <c r="I3734" s="15"/>
    </row>
    <row r="3735" spans="1:10" x14ac:dyDescent="0.2">
      <c r="A3735" s="17"/>
      <c r="B3735" s="18"/>
      <c r="C3735" s="18"/>
      <c r="D3735" s="18"/>
      <c r="E3735" s="18"/>
      <c r="F3735" s="18"/>
      <c r="G3735" s="18"/>
      <c r="H3735" s="18"/>
      <c r="I3735" s="17"/>
    </row>
    <row r="3736" spans="1:10" x14ac:dyDescent="0.2">
      <c r="H3736" s="4" t="s">
        <v>95</v>
      </c>
      <c r="I3736" s="13">
        <f>SUM(I3733:I3735)</f>
        <v>0</v>
      </c>
    </row>
    <row r="3740" spans="1:10" ht="15" x14ac:dyDescent="0.25">
      <c r="A3740" s="21" t="s">
        <v>1842</v>
      </c>
      <c r="B3740" s="22"/>
      <c r="C3740" s="22"/>
      <c r="D3740" s="22"/>
      <c r="E3740" s="22"/>
      <c r="F3740" s="22"/>
      <c r="G3740" s="22"/>
      <c r="H3740" s="22"/>
      <c r="I3740" s="22"/>
      <c r="J3740" s="22"/>
    </row>
    <row r="3741" spans="1:10" ht="15" x14ac:dyDescent="0.25">
      <c r="A3741" s="21" t="s">
        <v>1843</v>
      </c>
      <c r="B3741" s="22"/>
      <c r="C3741" s="22"/>
      <c r="D3741" s="22"/>
      <c r="E3741" s="22"/>
      <c r="F3741" s="22"/>
      <c r="G3741" s="22"/>
      <c r="H3741" s="22"/>
      <c r="I3741" s="22"/>
      <c r="J3741" s="22"/>
    </row>
    <row r="3743" spans="1:10" ht="15" x14ac:dyDescent="0.25">
      <c r="A3743" s="3" t="s">
        <v>2</v>
      </c>
      <c r="B3743" s="3" t="s">
        <v>3</v>
      </c>
      <c r="C3743" s="3" t="s">
        <v>4</v>
      </c>
      <c r="D3743" s="3" t="s">
        <v>5</v>
      </c>
      <c r="E3743" s="3" t="s">
        <v>6</v>
      </c>
      <c r="F3743" s="7" t="s">
        <v>7</v>
      </c>
      <c r="G3743" s="3" t="s">
        <v>8</v>
      </c>
      <c r="H3743" s="7" t="s">
        <v>9</v>
      </c>
      <c r="I3743" s="7" t="s">
        <v>10</v>
      </c>
      <c r="J3743" s="3" t="s">
        <v>11</v>
      </c>
    </row>
    <row r="3744" spans="1:10" ht="194.25" x14ac:dyDescent="0.2">
      <c r="A3744" s="2" t="s">
        <v>1844</v>
      </c>
      <c r="B3744" s="9">
        <v>1</v>
      </c>
      <c r="C3744" s="9">
        <v>1</v>
      </c>
      <c r="D3744" s="10" t="s">
        <v>13</v>
      </c>
      <c r="E3744" s="11" t="s">
        <v>1813</v>
      </c>
      <c r="F3744" s="12">
        <v>5</v>
      </c>
      <c r="G3744" s="10" t="s">
        <v>83</v>
      </c>
      <c r="H3744" s="13"/>
      <c r="I3744" s="13"/>
      <c r="J3744" s="10"/>
    </row>
    <row r="3745" spans="1:10" x14ac:dyDescent="0.2">
      <c r="A3745" s="2" t="s">
        <v>1844</v>
      </c>
      <c r="B3745" s="9">
        <v>1</v>
      </c>
      <c r="C3745" s="9">
        <v>1</v>
      </c>
      <c r="D3745" s="10" t="s">
        <v>16</v>
      </c>
      <c r="E3745" s="11" t="s">
        <v>1726</v>
      </c>
      <c r="F3745" s="12">
        <v>9</v>
      </c>
      <c r="G3745" s="10" t="s">
        <v>83</v>
      </c>
      <c r="H3745" s="13"/>
      <c r="I3745" s="13"/>
      <c r="J3745" s="10"/>
    </row>
    <row r="3746" spans="1:10" x14ac:dyDescent="0.2">
      <c r="A3746" s="2" t="s">
        <v>1844</v>
      </c>
      <c r="B3746" s="9">
        <v>1</v>
      </c>
      <c r="C3746" s="9">
        <v>1</v>
      </c>
      <c r="D3746" s="10" t="s">
        <v>18</v>
      </c>
      <c r="E3746" s="11" t="s">
        <v>1248</v>
      </c>
      <c r="F3746" s="12">
        <v>2</v>
      </c>
      <c r="G3746" s="10" t="s">
        <v>31</v>
      </c>
      <c r="H3746" s="13"/>
      <c r="I3746" s="13"/>
      <c r="J3746" s="10"/>
    </row>
    <row r="3747" spans="1:10" ht="104.25" x14ac:dyDescent="0.2">
      <c r="A3747" s="2" t="s">
        <v>1844</v>
      </c>
      <c r="B3747" s="9">
        <v>1</v>
      </c>
      <c r="C3747" s="9">
        <v>1</v>
      </c>
      <c r="D3747" s="10" t="s">
        <v>20</v>
      </c>
      <c r="E3747" s="11" t="s">
        <v>1250</v>
      </c>
      <c r="F3747" s="12">
        <v>4</v>
      </c>
      <c r="G3747" s="10" t="s">
        <v>79</v>
      </c>
      <c r="H3747" s="13"/>
      <c r="I3747" s="13"/>
      <c r="J3747" s="10"/>
    </row>
    <row r="3748" spans="1:10" x14ac:dyDescent="0.2">
      <c r="A3748" s="2" t="s">
        <v>1844</v>
      </c>
      <c r="B3748" s="9">
        <v>1</v>
      </c>
      <c r="C3748" s="9">
        <v>1</v>
      </c>
      <c r="D3748" s="10" t="s">
        <v>22</v>
      </c>
      <c r="E3748" s="11" t="s">
        <v>1251</v>
      </c>
      <c r="F3748" s="12">
        <v>1</v>
      </c>
      <c r="G3748" s="10" t="s">
        <v>79</v>
      </c>
      <c r="H3748" s="13"/>
      <c r="I3748" s="13"/>
      <c r="J3748" s="10"/>
    </row>
    <row r="3749" spans="1:10" ht="74.25" x14ac:dyDescent="0.2">
      <c r="A3749" s="2" t="s">
        <v>1844</v>
      </c>
      <c r="B3749" s="9">
        <v>1</v>
      </c>
      <c r="C3749" s="9">
        <v>1</v>
      </c>
      <c r="D3749" s="10" t="s">
        <v>24</v>
      </c>
      <c r="E3749" s="11" t="s">
        <v>1254</v>
      </c>
      <c r="F3749" s="12">
        <v>76</v>
      </c>
      <c r="G3749" s="10" t="s">
        <v>109</v>
      </c>
      <c r="H3749" s="13"/>
      <c r="I3749" s="13"/>
      <c r="J3749" s="10"/>
    </row>
    <row r="3750" spans="1:10" x14ac:dyDescent="0.2">
      <c r="A3750" s="2" t="s">
        <v>1844</v>
      </c>
      <c r="B3750" s="9">
        <v>1</v>
      </c>
      <c r="C3750" s="9">
        <v>1</v>
      </c>
      <c r="D3750" s="10" t="s">
        <v>27</v>
      </c>
      <c r="E3750" s="11" t="s">
        <v>1255</v>
      </c>
      <c r="F3750" s="12">
        <v>4</v>
      </c>
      <c r="G3750" s="10" t="s">
        <v>109</v>
      </c>
      <c r="H3750" s="13"/>
      <c r="I3750" s="13"/>
      <c r="J3750" s="10"/>
    </row>
    <row r="3751" spans="1:10" x14ac:dyDescent="0.2">
      <c r="A3751" s="1" t="s">
        <v>1845</v>
      </c>
      <c r="B3751" s="1"/>
      <c r="C3751" s="1"/>
      <c r="D3751" s="1"/>
      <c r="E3751" s="1"/>
      <c r="F3751" s="1"/>
      <c r="G3751" s="1"/>
      <c r="H3751" s="1" t="s">
        <v>67</v>
      </c>
      <c r="I3751" s="13">
        <f>I3744+I3745+I3746+I3747+I3748+I3749+I3750</f>
        <v>0</v>
      </c>
      <c r="J3751" s="1"/>
    </row>
    <row r="3754" spans="1:10" ht="15" x14ac:dyDescent="0.25">
      <c r="A3754" s="21" t="s">
        <v>1846</v>
      </c>
      <c r="B3754" s="22"/>
      <c r="C3754" s="22"/>
      <c r="D3754" s="22"/>
      <c r="E3754" s="22"/>
      <c r="F3754" s="22"/>
      <c r="G3754" s="22"/>
      <c r="H3754" s="22"/>
      <c r="I3754" s="22"/>
      <c r="J3754" s="22"/>
    </row>
    <row r="3755" spans="1:10" ht="15" x14ac:dyDescent="0.25">
      <c r="A3755" s="21" t="s">
        <v>1843</v>
      </c>
      <c r="B3755" s="22"/>
      <c r="C3755" s="22"/>
      <c r="D3755" s="22"/>
      <c r="E3755" s="22"/>
      <c r="F3755" s="22"/>
      <c r="G3755" s="22"/>
      <c r="H3755" s="22"/>
      <c r="I3755" s="22"/>
      <c r="J3755" s="22"/>
    </row>
    <row r="3757" spans="1:10" ht="15" x14ac:dyDescent="0.25">
      <c r="A3757" s="3" t="s">
        <v>2</v>
      </c>
      <c r="B3757" s="3" t="s">
        <v>3</v>
      </c>
      <c r="C3757" s="3" t="s">
        <v>4</v>
      </c>
      <c r="D3757" s="3" t="s">
        <v>5</v>
      </c>
      <c r="E3757" s="3" t="s">
        <v>6</v>
      </c>
      <c r="F3757" s="7" t="s">
        <v>7</v>
      </c>
      <c r="G3757" s="3" t="s">
        <v>8</v>
      </c>
      <c r="H3757" s="7" t="s">
        <v>9</v>
      </c>
      <c r="I3757" s="7" t="s">
        <v>10</v>
      </c>
      <c r="J3757" s="3" t="s">
        <v>11</v>
      </c>
    </row>
    <row r="3758" spans="1:10" ht="149.25" x14ac:dyDescent="0.2">
      <c r="A3758" s="2" t="s">
        <v>1844</v>
      </c>
      <c r="B3758" s="9">
        <v>1</v>
      </c>
      <c r="C3758" s="9">
        <v>2</v>
      </c>
      <c r="D3758" s="10" t="s">
        <v>13</v>
      </c>
      <c r="E3758" s="11" t="s">
        <v>1847</v>
      </c>
      <c r="F3758" s="12">
        <v>124</v>
      </c>
      <c r="G3758" s="10" t="s">
        <v>109</v>
      </c>
      <c r="H3758" s="13"/>
      <c r="I3758" s="13"/>
      <c r="J3758" s="10"/>
    </row>
    <row r="3759" spans="1:10" ht="89.25" x14ac:dyDescent="0.2">
      <c r="A3759" s="2" t="s">
        <v>1844</v>
      </c>
      <c r="B3759" s="9">
        <v>1</v>
      </c>
      <c r="C3759" s="9">
        <v>2</v>
      </c>
      <c r="D3759" s="10" t="s">
        <v>16</v>
      </c>
      <c r="E3759" s="11" t="s">
        <v>1848</v>
      </c>
      <c r="F3759" s="12">
        <v>72</v>
      </c>
      <c r="G3759" s="10" t="s">
        <v>109</v>
      </c>
      <c r="H3759" s="13"/>
      <c r="I3759" s="13"/>
      <c r="J3759" s="10"/>
    </row>
    <row r="3760" spans="1:10" ht="119.25" x14ac:dyDescent="0.2">
      <c r="A3760" s="2" t="s">
        <v>1844</v>
      </c>
      <c r="B3760" s="9">
        <v>1</v>
      </c>
      <c r="C3760" s="9">
        <v>2</v>
      </c>
      <c r="D3760" s="10" t="s">
        <v>18</v>
      </c>
      <c r="E3760" s="11" t="s">
        <v>1775</v>
      </c>
      <c r="F3760" s="12">
        <v>72</v>
      </c>
      <c r="G3760" s="10" t="s">
        <v>109</v>
      </c>
      <c r="H3760" s="13"/>
      <c r="I3760" s="13"/>
      <c r="J3760" s="10"/>
    </row>
    <row r="3761" spans="1:10" ht="104.25" x14ac:dyDescent="0.2">
      <c r="A3761" s="2" t="s">
        <v>1844</v>
      </c>
      <c r="B3761" s="9">
        <v>1</v>
      </c>
      <c r="C3761" s="9">
        <v>2</v>
      </c>
      <c r="D3761" s="10" t="s">
        <v>20</v>
      </c>
      <c r="E3761" s="11" t="s">
        <v>1539</v>
      </c>
      <c r="F3761" s="12">
        <v>4</v>
      </c>
      <c r="G3761" s="10" t="s">
        <v>109</v>
      </c>
      <c r="H3761" s="13"/>
      <c r="I3761" s="13"/>
      <c r="J3761" s="10"/>
    </row>
    <row r="3762" spans="1:10" x14ac:dyDescent="0.2">
      <c r="A3762" s="1" t="s">
        <v>1849</v>
      </c>
      <c r="B3762" s="1"/>
      <c r="C3762" s="1"/>
      <c r="D3762" s="1"/>
      <c r="E3762" s="1"/>
      <c r="F3762" s="1"/>
      <c r="G3762" s="1"/>
      <c r="H3762" s="1" t="s">
        <v>67</v>
      </c>
      <c r="I3762" s="13">
        <f>I3758+I3759+I3760+I3761</f>
        <v>0</v>
      </c>
      <c r="J3762" s="1"/>
    </row>
    <row r="3770" spans="1:10" ht="15" x14ac:dyDescent="0.25">
      <c r="A3770" s="3" t="s">
        <v>89</v>
      </c>
      <c r="B3770" s="14"/>
      <c r="C3770" s="14"/>
      <c r="D3770" s="14"/>
      <c r="E3770" s="14"/>
      <c r="F3770" s="14"/>
      <c r="G3770" s="14"/>
      <c r="H3770" s="14"/>
      <c r="I3770" s="7" t="s">
        <v>90</v>
      </c>
    </row>
    <row r="3771" spans="1:10" x14ac:dyDescent="0.2">
      <c r="A3771" s="15" t="s">
        <v>1850</v>
      </c>
      <c r="I3771" s="16">
        <f>I3751</f>
        <v>0</v>
      </c>
    </row>
    <row r="3772" spans="1:10" x14ac:dyDescent="0.2">
      <c r="A3772" s="15" t="s">
        <v>1851</v>
      </c>
      <c r="I3772" s="16">
        <f>I3762</f>
        <v>0</v>
      </c>
    </row>
    <row r="3773" spans="1:10" x14ac:dyDescent="0.2">
      <c r="A3773" s="15"/>
      <c r="I3773" s="15"/>
    </row>
    <row r="3774" spans="1:10" x14ac:dyDescent="0.2">
      <c r="A3774" s="17"/>
      <c r="B3774" s="18"/>
      <c r="C3774" s="18"/>
      <c r="D3774" s="18"/>
      <c r="E3774" s="18"/>
      <c r="F3774" s="18"/>
      <c r="G3774" s="18"/>
      <c r="H3774" s="18"/>
      <c r="I3774" s="17"/>
    </row>
    <row r="3775" spans="1:10" x14ac:dyDescent="0.2">
      <c r="H3775" s="4" t="s">
        <v>95</v>
      </c>
      <c r="I3775" s="13">
        <f>SUM(I3771:I3774)</f>
        <v>0</v>
      </c>
    </row>
    <row r="3779" spans="1:10" ht="15" x14ac:dyDescent="0.25">
      <c r="A3779" s="21" t="s">
        <v>1852</v>
      </c>
      <c r="B3779" s="22"/>
      <c r="C3779" s="22"/>
      <c r="D3779" s="22"/>
      <c r="E3779" s="22"/>
      <c r="F3779" s="22"/>
      <c r="G3779" s="22"/>
      <c r="H3779" s="22"/>
      <c r="I3779" s="22"/>
      <c r="J3779" s="22"/>
    </row>
    <row r="3780" spans="1:10" ht="15" x14ac:dyDescent="0.25">
      <c r="A3780" s="21" t="s">
        <v>1853</v>
      </c>
      <c r="B3780" s="22"/>
      <c r="C3780" s="22"/>
      <c r="D3780" s="22"/>
      <c r="E3780" s="22"/>
      <c r="F3780" s="22"/>
      <c r="G3780" s="22"/>
      <c r="H3780" s="22"/>
      <c r="I3780" s="22"/>
      <c r="J3780" s="22"/>
    </row>
    <row r="3782" spans="1:10" ht="15" x14ac:dyDescent="0.25">
      <c r="A3782" s="3" t="s">
        <v>2</v>
      </c>
      <c r="B3782" s="3" t="s">
        <v>3</v>
      </c>
      <c r="C3782" s="3" t="s">
        <v>4</v>
      </c>
      <c r="D3782" s="3" t="s">
        <v>5</v>
      </c>
      <c r="E3782" s="3" t="s">
        <v>6</v>
      </c>
      <c r="F3782" s="7" t="s">
        <v>7</v>
      </c>
      <c r="G3782" s="3" t="s">
        <v>8</v>
      </c>
      <c r="H3782" s="7" t="s">
        <v>9</v>
      </c>
      <c r="I3782" s="7" t="s">
        <v>10</v>
      </c>
      <c r="J3782" s="3" t="s">
        <v>11</v>
      </c>
    </row>
    <row r="3783" spans="1:10" ht="164.25" x14ac:dyDescent="0.2">
      <c r="A3783" s="2" t="s">
        <v>1854</v>
      </c>
      <c r="B3783" s="9">
        <v>1</v>
      </c>
      <c r="C3783" s="9">
        <v>1</v>
      </c>
      <c r="D3783" s="10" t="s">
        <v>13</v>
      </c>
      <c r="E3783" s="11" t="s">
        <v>1824</v>
      </c>
      <c r="F3783" s="12">
        <v>3</v>
      </c>
      <c r="G3783" s="10" t="s">
        <v>83</v>
      </c>
      <c r="H3783" s="13"/>
      <c r="I3783" s="13"/>
      <c r="J3783" s="10"/>
    </row>
    <row r="3784" spans="1:10" ht="89.25" x14ac:dyDescent="0.2">
      <c r="A3784" s="2" t="s">
        <v>1854</v>
      </c>
      <c r="B3784" s="9">
        <v>1</v>
      </c>
      <c r="C3784" s="9">
        <v>1</v>
      </c>
      <c r="D3784" s="10" t="s">
        <v>16</v>
      </c>
      <c r="E3784" s="11" t="s">
        <v>1162</v>
      </c>
      <c r="F3784" s="12">
        <v>3</v>
      </c>
      <c r="G3784" s="10" t="s">
        <v>83</v>
      </c>
      <c r="H3784" s="13"/>
      <c r="I3784" s="13"/>
      <c r="J3784" s="10"/>
    </row>
    <row r="3785" spans="1:10" ht="74.25" x14ac:dyDescent="0.2">
      <c r="A3785" s="2" t="s">
        <v>1854</v>
      </c>
      <c r="B3785" s="9">
        <v>1</v>
      </c>
      <c r="C3785" s="9">
        <v>1</v>
      </c>
      <c r="D3785" s="10" t="s">
        <v>18</v>
      </c>
      <c r="E3785" s="11" t="s">
        <v>1341</v>
      </c>
      <c r="F3785" s="12">
        <v>3</v>
      </c>
      <c r="G3785" s="10" t="s">
        <v>83</v>
      </c>
      <c r="H3785" s="13"/>
      <c r="I3785" s="13"/>
      <c r="J3785" s="10"/>
    </row>
    <row r="3786" spans="1:10" x14ac:dyDescent="0.2">
      <c r="A3786" s="2" t="s">
        <v>1854</v>
      </c>
      <c r="B3786" s="9">
        <v>1</v>
      </c>
      <c r="C3786" s="9">
        <v>1</v>
      </c>
      <c r="D3786" s="10" t="s">
        <v>20</v>
      </c>
      <c r="E3786" s="11" t="s">
        <v>1168</v>
      </c>
      <c r="F3786" s="12">
        <v>8</v>
      </c>
      <c r="G3786" s="10" t="s">
        <v>31</v>
      </c>
      <c r="H3786" s="13"/>
      <c r="I3786" s="13"/>
      <c r="J3786" s="10"/>
    </row>
    <row r="3787" spans="1:10" x14ac:dyDescent="0.2">
      <c r="A3787" s="2" t="s">
        <v>1854</v>
      </c>
      <c r="B3787" s="9">
        <v>1</v>
      </c>
      <c r="C3787" s="9">
        <v>1</v>
      </c>
      <c r="D3787" s="10" t="s">
        <v>22</v>
      </c>
      <c r="E3787" s="11" t="s">
        <v>1738</v>
      </c>
      <c r="F3787" s="12">
        <v>2</v>
      </c>
      <c r="G3787" s="10" t="s">
        <v>31</v>
      </c>
      <c r="H3787" s="13"/>
      <c r="I3787" s="13"/>
      <c r="J3787" s="10"/>
    </row>
    <row r="3788" spans="1:10" ht="104.25" x14ac:dyDescent="0.2">
      <c r="A3788" s="2" t="s">
        <v>1854</v>
      </c>
      <c r="B3788" s="9">
        <v>1</v>
      </c>
      <c r="C3788" s="9">
        <v>1</v>
      </c>
      <c r="D3788" s="10" t="s">
        <v>24</v>
      </c>
      <c r="E3788" s="11" t="s">
        <v>1825</v>
      </c>
      <c r="F3788" s="12">
        <v>2</v>
      </c>
      <c r="G3788" s="10" t="s">
        <v>31</v>
      </c>
      <c r="H3788" s="13"/>
      <c r="I3788" s="13"/>
      <c r="J3788" s="10"/>
    </row>
    <row r="3789" spans="1:10" ht="28.5" x14ac:dyDescent="0.2">
      <c r="A3789" s="2" t="s">
        <v>1854</v>
      </c>
      <c r="B3789" s="9">
        <v>1</v>
      </c>
      <c r="C3789" s="9">
        <v>1</v>
      </c>
      <c r="D3789" s="10" t="s">
        <v>27</v>
      </c>
      <c r="E3789" s="11" t="s">
        <v>1743</v>
      </c>
      <c r="F3789" s="12">
        <v>1</v>
      </c>
      <c r="G3789" s="10" t="s">
        <v>15</v>
      </c>
      <c r="H3789" s="13"/>
      <c r="I3789" s="13"/>
      <c r="J3789" s="10"/>
    </row>
    <row r="3790" spans="1:10" x14ac:dyDescent="0.2">
      <c r="A3790" s="1" t="s">
        <v>1855</v>
      </c>
      <c r="B3790" s="1"/>
      <c r="C3790" s="1"/>
      <c r="D3790" s="1"/>
      <c r="E3790" s="1"/>
      <c r="F3790" s="1"/>
      <c r="G3790" s="1"/>
      <c r="H3790" s="1" t="s">
        <v>67</v>
      </c>
      <c r="I3790" s="13">
        <f>I3783+I3784+I3785+I3786+I3787+I3788+I3789</f>
        <v>0</v>
      </c>
      <c r="J3790" s="1"/>
    </row>
    <row r="3793" spans="1:10" ht="15" x14ac:dyDescent="0.25">
      <c r="A3793" s="21" t="s">
        <v>1856</v>
      </c>
      <c r="B3793" s="22"/>
      <c r="C3793" s="22"/>
      <c r="D3793" s="22"/>
      <c r="E3793" s="22"/>
      <c r="F3793" s="22"/>
      <c r="G3793" s="22"/>
      <c r="H3793" s="22"/>
      <c r="I3793" s="22"/>
      <c r="J3793" s="22"/>
    </row>
    <row r="3794" spans="1:10" ht="15" x14ac:dyDescent="0.25">
      <c r="A3794" s="21" t="s">
        <v>1853</v>
      </c>
      <c r="B3794" s="22"/>
      <c r="C3794" s="22"/>
      <c r="D3794" s="22"/>
      <c r="E3794" s="22"/>
      <c r="F3794" s="22"/>
      <c r="G3794" s="22"/>
      <c r="H3794" s="22"/>
      <c r="I3794" s="22"/>
      <c r="J3794" s="22"/>
    </row>
    <row r="3796" spans="1:10" ht="15" x14ac:dyDescent="0.25">
      <c r="A3796" s="3" t="s">
        <v>2</v>
      </c>
      <c r="B3796" s="3" t="s">
        <v>3</v>
      </c>
      <c r="C3796" s="3" t="s">
        <v>4</v>
      </c>
      <c r="D3796" s="3" t="s">
        <v>5</v>
      </c>
      <c r="E3796" s="3" t="s">
        <v>6</v>
      </c>
      <c r="F3796" s="7" t="s">
        <v>7</v>
      </c>
      <c r="G3796" s="3" t="s">
        <v>8</v>
      </c>
      <c r="H3796" s="7" t="s">
        <v>9</v>
      </c>
      <c r="I3796" s="7" t="s">
        <v>10</v>
      </c>
      <c r="J3796" s="3" t="s">
        <v>11</v>
      </c>
    </row>
    <row r="3797" spans="1:10" ht="104.25" x14ac:dyDescent="0.2">
      <c r="A3797" s="2" t="s">
        <v>1854</v>
      </c>
      <c r="B3797" s="9">
        <v>1</v>
      </c>
      <c r="C3797" s="9">
        <v>2</v>
      </c>
      <c r="D3797" s="10" t="s">
        <v>13</v>
      </c>
      <c r="E3797" s="11" t="s">
        <v>1828</v>
      </c>
      <c r="F3797" s="12">
        <v>3</v>
      </c>
      <c r="G3797" s="10" t="s">
        <v>83</v>
      </c>
      <c r="H3797" s="13"/>
      <c r="I3797" s="13"/>
      <c r="J3797" s="10"/>
    </row>
    <row r="3798" spans="1:10" ht="74.25" x14ac:dyDescent="0.2">
      <c r="A3798" s="2" t="s">
        <v>1854</v>
      </c>
      <c r="B3798" s="9">
        <v>1</v>
      </c>
      <c r="C3798" s="9">
        <v>2</v>
      </c>
      <c r="D3798" s="10" t="s">
        <v>16</v>
      </c>
      <c r="E3798" s="11" t="s">
        <v>1199</v>
      </c>
      <c r="F3798" s="12">
        <v>1</v>
      </c>
      <c r="G3798" s="10" t="s">
        <v>15</v>
      </c>
      <c r="H3798" s="13"/>
      <c r="I3798" s="13"/>
      <c r="J3798" s="10"/>
    </row>
    <row r="3799" spans="1:10" x14ac:dyDescent="0.2">
      <c r="A3799" s="2" t="s">
        <v>1854</v>
      </c>
      <c r="B3799" s="9">
        <v>1</v>
      </c>
      <c r="C3799" s="9">
        <v>2</v>
      </c>
      <c r="D3799" s="10" t="s">
        <v>18</v>
      </c>
      <c r="E3799" s="11" t="s">
        <v>1200</v>
      </c>
      <c r="F3799" s="12">
        <v>1</v>
      </c>
      <c r="G3799" s="10" t="s">
        <v>15</v>
      </c>
      <c r="H3799" s="13"/>
      <c r="I3799" s="13"/>
      <c r="J3799" s="10"/>
    </row>
    <row r="3800" spans="1:10" ht="44.25" x14ac:dyDescent="0.2">
      <c r="A3800" s="2" t="s">
        <v>1854</v>
      </c>
      <c r="B3800" s="9">
        <v>1</v>
      </c>
      <c r="C3800" s="9">
        <v>2</v>
      </c>
      <c r="D3800" s="10" t="s">
        <v>20</v>
      </c>
      <c r="E3800" s="11" t="s">
        <v>1347</v>
      </c>
      <c r="F3800" s="12">
        <v>1</v>
      </c>
      <c r="G3800" s="10" t="s">
        <v>15</v>
      </c>
      <c r="H3800" s="13"/>
      <c r="I3800" s="6"/>
      <c r="J3800" s="10"/>
    </row>
    <row r="3801" spans="1:10" ht="74.25" x14ac:dyDescent="0.2">
      <c r="A3801" s="2" t="s">
        <v>1854</v>
      </c>
      <c r="B3801" s="9">
        <v>1</v>
      </c>
      <c r="C3801" s="9">
        <v>2</v>
      </c>
      <c r="D3801" s="10" t="s">
        <v>22</v>
      </c>
      <c r="E3801" s="11" t="s">
        <v>1207</v>
      </c>
      <c r="F3801" s="12">
        <v>1</v>
      </c>
      <c r="G3801" s="10" t="s">
        <v>15</v>
      </c>
      <c r="H3801" s="13"/>
      <c r="I3801" s="13"/>
      <c r="J3801" s="10"/>
    </row>
    <row r="3802" spans="1:10" x14ac:dyDescent="0.2">
      <c r="A3802" s="1" t="s">
        <v>1857</v>
      </c>
      <c r="B3802" s="1"/>
      <c r="C3802" s="1"/>
      <c r="D3802" s="1"/>
      <c r="E3802" s="1"/>
      <c r="F3802" s="1"/>
      <c r="G3802" s="1"/>
      <c r="H3802" s="1" t="s">
        <v>67</v>
      </c>
      <c r="I3802" s="13">
        <f>I3797+I3798+I3799+I3801</f>
        <v>0</v>
      </c>
      <c r="J3802" s="1"/>
    </row>
    <row r="3810" spans="1:10" ht="15" x14ac:dyDescent="0.25">
      <c r="A3810" s="3" t="s">
        <v>89</v>
      </c>
      <c r="B3810" s="14"/>
      <c r="C3810" s="14"/>
      <c r="D3810" s="14"/>
      <c r="E3810" s="14"/>
      <c r="F3810" s="14"/>
      <c r="G3810" s="14"/>
      <c r="H3810" s="14"/>
      <c r="I3810" s="7" t="s">
        <v>90</v>
      </c>
    </row>
    <row r="3811" spans="1:10" x14ac:dyDescent="0.2">
      <c r="A3811" s="15" t="s">
        <v>1858</v>
      </c>
      <c r="I3811" s="16">
        <f>I3790</f>
        <v>0</v>
      </c>
    </row>
    <row r="3812" spans="1:10" x14ac:dyDescent="0.2">
      <c r="A3812" s="15" t="s">
        <v>1859</v>
      </c>
      <c r="I3812" s="16">
        <f>I3802</f>
        <v>0</v>
      </c>
    </row>
    <row r="3813" spans="1:10" x14ac:dyDescent="0.2">
      <c r="A3813" s="15"/>
      <c r="I3813" s="15"/>
    </row>
    <row r="3814" spans="1:10" x14ac:dyDescent="0.2">
      <c r="A3814" s="17"/>
      <c r="B3814" s="18"/>
      <c r="C3814" s="18"/>
      <c r="D3814" s="18"/>
      <c r="E3814" s="18"/>
      <c r="F3814" s="18"/>
      <c r="G3814" s="18"/>
      <c r="H3814" s="18"/>
      <c r="I3814" s="17"/>
    </row>
    <row r="3815" spans="1:10" x14ac:dyDescent="0.2">
      <c r="H3815" s="4" t="s">
        <v>95</v>
      </c>
      <c r="I3815" s="13">
        <f>SUM(I3811:I3814)</f>
        <v>0</v>
      </c>
    </row>
    <row r="3819" spans="1:10" ht="15" x14ac:dyDescent="0.25">
      <c r="A3819" s="21" t="s">
        <v>1860</v>
      </c>
      <c r="B3819" s="22"/>
      <c r="C3819" s="22"/>
      <c r="D3819" s="22"/>
      <c r="E3819" s="22"/>
      <c r="F3819" s="22"/>
      <c r="G3819" s="22"/>
      <c r="H3819" s="22"/>
      <c r="I3819" s="22"/>
      <c r="J3819" s="22"/>
    </row>
    <row r="3820" spans="1:10" ht="15" x14ac:dyDescent="0.25">
      <c r="A3820" s="21" t="s">
        <v>1861</v>
      </c>
      <c r="B3820" s="22"/>
      <c r="C3820" s="22"/>
      <c r="D3820" s="22"/>
      <c r="E3820" s="22"/>
      <c r="F3820" s="22"/>
      <c r="G3820" s="22"/>
      <c r="H3820" s="22"/>
      <c r="I3820" s="22"/>
      <c r="J3820" s="22"/>
    </row>
    <row r="3822" spans="1:10" ht="15" x14ac:dyDescent="0.25">
      <c r="A3822" s="3" t="s">
        <v>2</v>
      </c>
      <c r="B3822" s="3" t="s">
        <v>3</v>
      </c>
      <c r="C3822" s="3" t="s">
        <v>4</v>
      </c>
      <c r="D3822" s="3" t="s">
        <v>5</v>
      </c>
      <c r="E3822" s="3" t="s">
        <v>6</v>
      </c>
      <c r="F3822" s="7" t="s">
        <v>7</v>
      </c>
      <c r="G3822" s="3" t="s">
        <v>8</v>
      </c>
      <c r="H3822" s="7" t="s">
        <v>9</v>
      </c>
      <c r="I3822" s="7" t="s">
        <v>10</v>
      </c>
      <c r="J3822" s="3" t="s">
        <v>11</v>
      </c>
    </row>
    <row r="3823" spans="1:10" x14ac:dyDescent="0.2">
      <c r="A3823" s="2" t="s">
        <v>1862</v>
      </c>
      <c r="B3823" s="9">
        <v>1</v>
      </c>
      <c r="C3823" s="9">
        <v>1</v>
      </c>
      <c r="D3823" s="10" t="s">
        <v>13</v>
      </c>
      <c r="E3823" s="11" t="s">
        <v>1304</v>
      </c>
      <c r="F3823" s="12">
        <v>0</v>
      </c>
      <c r="G3823" s="10"/>
      <c r="H3823" s="13"/>
      <c r="I3823" s="6"/>
      <c r="J3823" s="10"/>
    </row>
    <row r="3824" spans="1:10" x14ac:dyDescent="0.2">
      <c r="A3824" s="1" t="s">
        <v>1863</v>
      </c>
      <c r="B3824" s="1"/>
      <c r="C3824" s="1"/>
      <c r="D3824" s="1"/>
      <c r="E3824" s="1"/>
      <c r="F3824" s="1"/>
      <c r="G3824" s="1"/>
      <c r="H3824" s="1" t="s">
        <v>67</v>
      </c>
      <c r="I3824" s="13"/>
      <c r="J3824" s="1"/>
    </row>
    <row r="3832" spans="1:10" ht="15" x14ac:dyDescent="0.25">
      <c r="A3832" s="3" t="s">
        <v>89</v>
      </c>
      <c r="B3832" s="14"/>
      <c r="C3832" s="14"/>
      <c r="D3832" s="14"/>
      <c r="E3832" s="14"/>
      <c r="F3832" s="14"/>
      <c r="G3832" s="14"/>
      <c r="H3832" s="14"/>
      <c r="I3832" s="7" t="s">
        <v>90</v>
      </c>
    </row>
    <row r="3833" spans="1:10" x14ac:dyDescent="0.2">
      <c r="A3833" s="15" t="s">
        <v>1864</v>
      </c>
      <c r="I3833" s="16">
        <f>I3824</f>
        <v>0</v>
      </c>
    </row>
    <row r="3834" spans="1:10" x14ac:dyDescent="0.2">
      <c r="A3834" s="15"/>
      <c r="I3834" s="15"/>
    </row>
    <row r="3835" spans="1:10" x14ac:dyDescent="0.2">
      <c r="A3835" s="17"/>
      <c r="B3835" s="18"/>
      <c r="C3835" s="18"/>
      <c r="D3835" s="18"/>
      <c r="E3835" s="18"/>
      <c r="F3835" s="18"/>
      <c r="G3835" s="18"/>
      <c r="H3835" s="18"/>
      <c r="I3835" s="17"/>
    </row>
    <row r="3836" spans="1:10" x14ac:dyDescent="0.2">
      <c r="H3836" s="4" t="s">
        <v>95</v>
      </c>
      <c r="I3836" s="13">
        <f>SUM(I3833:I3835)</f>
        <v>0</v>
      </c>
    </row>
    <row r="3840" spans="1:10" ht="15" x14ac:dyDescent="0.25">
      <c r="A3840" s="21" t="s">
        <v>1865</v>
      </c>
      <c r="B3840" s="22"/>
      <c r="C3840" s="22"/>
      <c r="D3840" s="22"/>
      <c r="E3840" s="22"/>
      <c r="F3840" s="22"/>
      <c r="G3840" s="22"/>
      <c r="H3840" s="22"/>
      <c r="I3840" s="22"/>
      <c r="J3840" s="22"/>
    </row>
    <row r="3841" spans="1:10" ht="15" x14ac:dyDescent="0.25">
      <c r="A3841" s="21" t="s">
        <v>1866</v>
      </c>
      <c r="B3841" s="22"/>
      <c r="C3841" s="22"/>
      <c r="D3841" s="22"/>
      <c r="E3841" s="22"/>
      <c r="F3841" s="22"/>
      <c r="G3841" s="22"/>
      <c r="H3841" s="22"/>
      <c r="I3841" s="22"/>
      <c r="J3841" s="22"/>
    </row>
    <row r="3843" spans="1:10" ht="15" x14ac:dyDescent="0.25">
      <c r="A3843" s="3" t="s">
        <v>2</v>
      </c>
      <c r="B3843" s="3" t="s">
        <v>3</v>
      </c>
      <c r="C3843" s="3" t="s">
        <v>4</v>
      </c>
      <c r="D3843" s="3" t="s">
        <v>5</v>
      </c>
      <c r="E3843" s="3" t="s">
        <v>6</v>
      </c>
      <c r="F3843" s="7" t="s">
        <v>7</v>
      </c>
      <c r="G3843" s="3" t="s">
        <v>8</v>
      </c>
      <c r="H3843" s="7" t="s">
        <v>9</v>
      </c>
      <c r="I3843" s="7" t="s">
        <v>10</v>
      </c>
      <c r="J3843" s="3" t="s">
        <v>11</v>
      </c>
    </row>
    <row r="3844" spans="1:10" ht="134.25" x14ac:dyDescent="0.2">
      <c r="A3844" s="2" t="s">
        <v>1867</v>
      </c>
      <c r="B3844" s="9">
        <v>1</v>
      </c>
      <c r="C3844" s="9">
        <v>1</v>
      </c>
      <c r="D3844" s="10" t="s">
        <v>13</v>
      </c>
      <c r="E3844" s="11" t="s">
        <v>1716</v>
      </c>
      <c r="F3844" s="12">
        <v>79</v>
      </c>
      <c r="G3844" s="10" t="s">
        <v>109</v>
      </c>
      <c r="H3844" s="13"/>
      <c r="I3844" s="6"/>
      <c r="J3844" s="10"/>
    </row>
    <row r="3845" spans="1:10" ht="89.25" x14ac:dyDescent="0.2">
      <c r="A3845" s="2" t="s">
        <v>1867</v>
      </c>
      <c r="B3845" s="9">
        <v>1</v>
      </c>
      <c r="C3845" s="9">
        <v>1</v>
      </c>
      <c r="D3845" s="10" t="s">
        <v>16</v>
      </c>
      <c r="E3845" s="11" t="s">
        <v>1717</v>
      </c>
      <c r="F3845" s="12">
        <v>7.0000000000000009</v>
      </c>
      <c r="G3845" s="10" t="s">
        <v>83</v>
      </c>
      <c r="H3845" s="13"/>
      <c r="I3845" s="13"/>
      <c r="J3845" s="10"/>
    </row>
    <row r="3846" spans="1:10" x14ac:dyDescent="0.2">
      <c r="A3846" s="1" t="s">
        <v>1868</v>
      </c>
      <c r="B3846" s="1"/>
      <c r="C3846" s="1"/>
      <c r="D3846" s="1"/>
      <c r="E3846" s="1"/>
      <c r="F3846" s="1"/>
      <c r="G3846" s="1"/>
      <c r="H3846" s="1" t="s">
        <v>67</v>
      </c>
      <c r="I3846" s="13">
        <f>I3845</f>
        <v>0</v>
      </c>
      <c r="J3846" s="1"/>
    </row>
    <row r="3854" spans="1:10" ht="15" x14ac:dyDescent="0.25">
      <c r="A3854" s="3" t="s">
        <v>89</v>
      </c>
      <c r="B3854" s="14"/>
      <c r="C3854" s="14"/>
      <c r="D3854" s="14"/>
      <c r="E3854" s="14"/>
      <c r="F3854" s="14"/>
      <c r="G3854" s="14"/>
      <c r="H3854" s="14"/>
      <c r="I3854" s="7" t="s">
        <v>90</v>
      </c>
    </row>
    <row r="3855" spans="1:10" x14ac:dyDescent="0.2">
      <c r="A3855" s="15" t="s">
        <v>1869</v>
      </c>
      <c r="I3855" s="16">
        <f>I3846</f>
        <v>0</v>
      </c>
    </row>
    <row r="3856" spans="1:10" x14ac:dyDescent="0.2">
      <c r="A3856" s="15"/>
      <c r="I3856" s="15"/>
    </row>
    <row r="3857" spans="1:10" x14ac:dyDescent="0.2">
      <c r="A3857" s="17"/>
      <c r="B3857" s="18"/>
      <c r="C3857" s="18"/>
      <c r="D3857" s="18"/>
      <c r="E3857" s="18"/>
      <c r="F3857" s="18"/>
      <c r="G3857" s="18"/>
      <c r="H3857" s="18"/>
      <c r="I3857" s="17"/>
    </row>
    <row r="3858" spans="1:10" x14ac:dyDescent="0.2">
      <c r="H3858" s="4" t="s">
        <v>95</v>
      </c>
      <c r="I3858" s="13">
        <f>SUM(I3855:I3857)</f>
        <v>0</v>
      </c>
    </row>
    <row r="3862" spans="1:10" ht="15" x14ac:dyDescent="0.25">
      <c r="A3862" s="21" t="s">
        <v>1870</v>
      </c>
      <c r="B3862" s="22"/>
      <c r="C3862" s="22"/>
      <c r="D3862" s="22"/>
      <c r="E3862" s="22"/>
      <c r="F3862" s="22"/>
      <c r="G3862" s="22"/>
      <c r="H3862" s="22"/>
      <c r="I3862" s="22"/>
      <c r="J3862" s="22"/>
    </row>
    <row r="3863" spans="1:10" ht="15" x14ac:dyDescent="0.25">
      <c r="A3863" s="21" t="s">
        <v>1871</v>
      </c>
      <c r="B3863" s="22"/>
      <c r="C3863" s="22"/>
      <c r="D3863" s="22"/>
      <c r="E3863" s="22"/>
      <c r="F3863" s="22"/>
      <c r="G3863" s="22"/>
      <c r="H3863" s="22"/>
      <c r="I3863" s="22"/>
      <c r="J3863" s="22"/>
    </row>
    <row r="3865" spans="1:10" ht="15" x14ac:dyDescent="0.25">
      <c r="A3865" s="3" t="s">
        <v>2</v>
      </c>
      <c r="B3865" s="3" t="s">
        <v>3</v>
      </c>
      <c r="C3865" s="3" t="s">
        <v>4</v>
      </c>
      <c r="D3865" s="3" t="s">
        <v>5</v>
      </c>
      <c r="E3865" s="3" t="s">
        <v>6</v>
      </c>
      <c r="F3865" s="7" t="s">
        <v>7</v>
      </c>
      <c r="G3865" s="3" t="s">
        <v>8</v>
      </c>
      <c r="H3865" s="7" t="s">
        <v>9</v>
      </c>
      <c r="I3865" s="7" t="s">
        <v>10</v>
      </c>
      <c r="J3865" s="3" t="s">
        <v>11</v>
      </c>
    </row>
    <row r="3866" spans="1:10" ht="194.25" x14ac:dyDescent="0.2">
      <c r="A3866" s="2" t="s">
        <v>1872</v>
      </c>
      <c r="B3866" s="9">
        <v>1</v>
      </c>
      <c r="C3866" s="9">
        <v>1</v>
      </c>
      <c r="D3866" s="10" t="s">
        <v>13</v>
      </c>
      <c r="E3866" s="11" t="s">
        <v>1873</v>
      </c>
      <c r="F3866" s="12">
        <v>7.0000000000000009</v>
      </c>
      <c r="G3866" s="10" t="s">
        <v>83</v>
      </c>
      <c r="H3866" s="13"/>
      <c r="I3866" s="13"/>
      <c r="J3866" s="10"/>
    </row>
    <row r="3867" spans="1:10" ht="149.25" x14ac:dyDescent="0.2">
      <c r="A3867" s="2" t="s">
        <v>1872</v>
      </c>
      <c r="B3867" s="9">
        <v>1</v>
      </c>
      <c r="C3867" s="9">
        <v>1</v>
      </c>
      <c r="D3867" s="10" t="s">
        <v>16</v>
      </c>
      <c r="E3867" s="11" t="s">
        <v>1874</v>
      </c>
      <c r="F3867" s="12">
        <v>78</v>
      </c>
      <c r="G3867" s="10" t="s">
        <v>109</v>
      </c>
      <c r="H3867" s="13"/>
      <c r="I3867" s="13"/>
      <c r="J3867" s="10"/>
    </row>
    <row r="3868" spans="1:10" ht="119.25" x14ac:dyDescent="0.2">
      <c r="A3868" s="2" t="s">
        <v>1872</v>
      </c>
      <c r="B3868" s="9">
        <v>1</v>
      </c>
      <c r="C3868" s="9">
        <v>1</v>
      </c>
      <c r="D3868" s="10" t="s">
        <v>18</v>
      </c>
      <c r="E3868" s="11" t="s">
        <v>1875</v>
      </c>
      <c r="F3868" s="12">
        <v>43</v>
      </c>
      <c r="G3868" s="10" t="s">
        <v>83</v>
      </c>
      <c r="H3868" s="13"/>
      <c r="I3868" s="13"/>
      <c r="J3868" s="10"/>
    </row>
    <row r="3869" spans="1:10" x14ac:dyDescent="0.2">
      <c r="A3869" s="2" t="s">
        <v>1872</v>
      </c>
      <c r="B3869" s="9">
        <v>1</v>
      </c>
      <c r="C3869" s="9">
        <v>1</v>
      </c>
      <c r="D3869" s="10" t="s">
        <v>20</v>
      </c>
      <c r="E3869" s="11" t="s">
        <v>1876</v>
      </c>
      <c r="F3869" s="12">
        <v>13</v>
      </c>
      <c r="G3869" s="10" t="s">
        <v>83</v>
      </c>
      <c r="H3869" s="13"/>
      <c r="I3869" s="13"/>
      <c r="J3869" s="10"/>
    </row>
    <row r="3870" spans="1:10" x14ac:dyDescent="0.2">
      <c r="A3870" s="2" t="s">
        <v>1872</v>
      </c>
      <c r="B3870" s="9">
        <v>1</v>
      </c>
      <c r="C3870" s="9">
        <v>1</v>
      </c>
      <c r="D3870" s="10" t="s">
        <v>22</v>
      </c>
      <c r="E3870" s="11" t="s">
        <v>1877</v>
      </c>
      <c r="F3870" s="12">
        <v>59</v>
      </c>
      <c r="G3870" s="10" t="s">
        <v>83</v>
      </c>
      <c r="H3870" s="13"/>
      <c r="I3870" s="13"/>
      <c r="J3870" s="10"/>
    </row>
    <row r="3871" spans="1:10" x14ac:dyDescent="0.2">
      <c r="A3871" s="2" t="s">
        <v>1872</v>
      </c>
      <c r="B3871" s="9">
        <v>1</v>
      </c>
      <c r="C3871" s="9">
        <v>1</v>
      </c>
      <c r="D3871" s="10" t="s">
        <v>24</v>
      </c>
      <c r="E3871" s="11" t="s">
        <v>1878</v>
      </c>
      <c r="F3871" s="12">
        <v>6</v>
      </c>
      <c r="G3871" s="10" t="s">
        <v>83</v>
      </c>
      <c r="H3871" s="13"/>
      <c r="I3871" s="13"/>
      <c r="J3871" s="10"/>
    </row>
    <row r="3872" spans="1:10" x14ac:dyDescent="0.2">
      <c r="A3872" s="1" t="s">
        <v>1879</v>
      </c>
      <c r="B3872" s="1"/>
      <c r="C3872" s="1"/>
      <c r="D3872" s="1"/>
      <c r="E3872" s="1"/>
      <c r="F3872" s="1"/>
      <c r="G3872" s="1"/>
      <c r="H3872" s="1" t="s">
        <v>67</v>
      </c>
      <c r="I3872" s="13">
        <f>I3866+I3867+I3868+I3869+I3870+I3871</f>
        <v>0</v>
      </c>
      <c r="J3872" s="1"/>
    </row>
    <row r="3875" spans="1:10" ht="15" x14ac:dyDescent="0.25">
      <c r="A3875" s="21" t="s">
        <v>1880</v>
      </c>
      <c r="B3875" s="22"/>
      <c r="C3875" s="22"/>
      <c r="D3875" s="22"/>
      <c r="E3875" s="22"/>
      <c r="F3875" s="22"/>
      <c r="G3875" s="22"/>
      <c r="H3875" s="22"/>
      <c r="I3875" s="22"/>
      <c r="J3875" s="22"/>
    </row>
    <row r="3876" spans="1:10" ht="15" x14ac:dyDescent="0.25">
      <c r="A3876" s="21" t="s">
        <v>1871</v>
      </c>
      <c r="B3876" s="22"/>
      <c r="C3876" s="22"/>
      <c r="D3876" s="22"/>
      <c r="E3876" s="22"/>
      <c r="F3876" s="22"/>
      <c r="G3876" s="22"/>
      <c r="H3876" s="22"/>
      <c r="I3876" s="22"/>
      <c r="J3876" s="22"/>
    </row>
    <row r="3878" spans="1:10" ht="15" x14ac:dyDescent="0.25">
      <c r="A3878" s="3" t="s">
        <v>2</v>
      </c>
      <c r="B3878" s="3" t="s">
        <v>3</v>
      </c>
      <c r="C3878" s="3" t="s">
        <v>4</v>
      </c>
      <c r="D3878" s="3" t="s">
        <v>5</v>
      </c>
      <c r="E3878" s="3" t="s">
        <v>6</v>
      </c>
      <c r="F3878" s="7" t="s">
        <v>7</v>
      </c>
      <c r="G3878" s="3" t="s">
        <v>8</v>
      </c>
      <c r="H3878" s="7" t="s">
        <v>9</v>
      </c>
      <c r="I3878" s="7" t="s">
        <v>10</v>
      </c>
      <c r="J3878" s="3" t="s">
        <v>11</v>
      </c>
    </row>
    <row r="3879" spans="1:10" ht="74.25" x14ac:dyDescent="0.2">
      <c r="A3879" s="2" t="s">
        <v>1872</v>
      </c>
      <c r="B3879" s="9">
        <v>1</v>
      </c>
      <c r="C3879" s="9">
        <v>2</v>
      </c>
      <c r="D3879" s="10" t="s">
        <v>13</v>
      </c>
      <c r="E3879" s="11" t="s">
        <v>1881</v>
      </c>
      <c r="F3879" s="12">
        <v>7.0000000000000009</v>
      </c>
      <c r="G3879" s="10" t="s">
        <v>83</v>
      </c>
      <c r="H3879" s="13"/>
      <c r="I3879" s="13"/>
      <c r="J3879" s="10"/>
    </row>
    <row r="3880" spans="1:10" x14ac:dyDescent="0.2">
      <c r="A3880" s="2" t="s">
        <v>1872</v>
      </c>
      <c r="B3880" s="9">
        <v>1</v>
      </c>
      <c r="C3880" s="9">
        <v>2</v>
      </c>
      <c r="D3880" s="10" t="s">
        <v>16</v>
      </c>
      <c r="E3880" s="11" t="s">
        <v>1882</v>
      </c>
      <c r="F3880" s="12">
        <v>1</v>
      </c>
      <c r="G3880" s="10" t="s">
        <v>31</v>
      </c>
      <c r="H3880" s="13"/>
      <c r="I3880" s="13"/>
      <c r="J3880" s="10"/>
    </row>
    <row r="3881" spans="1:10" x14ac:dyDescent="0.2">
      <c r="A3881" s="2" t="s">
        <v>1872</v>
      </c>
      <c r="B3881" s="9">
        <v>1</v>
      </c>
      <c r="C3881" s="9">
        <v>2</v>
      </c>
      <c r="D3881" s="10" t="s">
        <v>18</v>
      </c>
      <c r="E3881" s="11" t="s">
        <v>1883</v>
      </c>
      <c r="F3881" s="12">
        <v>4</v>
      </c>
      <c r="G3881" s="10" t="s">
        <v>31</v>
      </c>
      <c r="H3881" s="13"/>
      <c r="I3881" s="13"/>
      <c r="J3881" s="10"/>
    </row>
    <row r="3882" spans="1:10" x14ac:dyDescent="0.2">
      <c r="A3882" s="2" t="s">
        <v>1872</v>
      </c>
      <c r="B3882" s="9">
        <v>1</v>
      </c>
      <c r="C3882" s="9">
        <v>2</v>
      </c>
      <c r="D3882" s="10" t="s">
        <v>20</v>
      </c>
      <c r="E3882" s="11" t="s">
        <v>1884</v>
      </c>
      <c r="F3882" s="12">
        <v>1</v>
      </c>
      <c r="G3882" s="10" t="s">
        <v>31</v>
      </c>
      <c r="H3882" s="13"/>
      <c r="I3882" s="13"/>
      <c r="J3882" s="10"/>
    </row>
    <row r="3883" spans="1:10" x14ac:dyDescent="0.2">
      <c r="A3883" s="2" t="s">
        <v>1872</v>
      </c>
      <c r="B3883" s="9">
        <v>1</v>
      </c>
      <c r="C3883" s="9">
        <v>2</v>
      </c>
      <c r="D3883" s="10" t="s">
        <v>22</v>
      </c>
      <c r="E3883" s="11" t="s">
        <v>1885</v>
      </c>
      <c r="F3883" s="12">
        <v>1</v>
      </c>
      <c r="G3883" s="10" t="s">
        <v>31</v>
      </c>
      <c r="H3883" s="13"/>
      <c r="I3883" s="13"/>
      <c r="J3883" s="10"/>
    </row>
    <row r="3884" spans="1:10" x14ac:dyDescent="0.2">
      <c r="A3884" s="2" t="s">
        <v>1872</v>
      </c>
      <c r="B3884" s="9">
        <v>1</v>
      </c>
      <c r="C3884" s="9">
        <v>2</v>
      </c>
      <c r="D3884" s="10" t="s">
        <v>24</v>
      </c>
      <c r="E3884" s="11" t="s">
        <v>1886</v>
      </c>
      <c r="F3884" s="12">
        <v>6</v>
      </c>
      <c r="G3884" s="10" t="s">
        <v>83</v>
      </c>
      <c r="H3884" s="13"/>
      <c r="I3884" s="13"/>
      <c r="J3884" s="10"/>
    </row>
    <row r="3885" spans="1:10" ht="104.25" x14ac:dyDescent="0.2">
      <c r="A3885" s="2" t="s">
        <v>1872</v>
      </c>
      <c r="B3885" s="9">
        <v>1</v>
      </c>
      <c r="C3885" s="9">
        <v>2</v>
      </c>
      <c r="D3885" s="10" t="s">
        <v>27</v>
      </c>
      <c r="E3885" s="11" t="s">
        <v>1887</v>
      </c>
      <c r="F3885" s="12">
        <v>2</v>
      </c>
      <c r="G3885" s="10" t="s">
        <v>31</v>
      </c>
      <c r="H3885" s="13"/>
      <c r="I3885" s="13"/>
      <c r="J3885" s="10"/>
    </row>
    <row r="3886" spans="1:10" x14ac:dyDescent="0.2">
      <c r="A3886" s="2" t="s">
        <v>1872</v>
      </c>
      <c r="B3886" s="9">
        <v>1</v>
      </c>
      <c r="C3886" s="9">
        <v>2</v>
      </c>
      <c r="D3886" s="10" t="s">
        <v>29</v>
      </c>
      <c r="E3886" s="11" t="s">
        <v>1888</v>
      </c>
      <c r="F3886" s="12">
        <v>2</v>
      </c>
      <c r="G3886" s="10" t="s">
        <v>31</v>
      </c>
      <c r="H3886" s="13"/>
      <c r="I3886" s="13"/>
      <c r="J3886" s="10"/>
    </row>
    <row r="3887" spans="1:10" x14ac:dyDescent="0.2">
      <c r="A3887" s="2" t="s">
        <v>1872</v>
      </c>
      <c r="B3887" s="9">
        <v>1</v>
      </c>
      <c r="C3887" s="9">
        <v>2</v>
      </c>
      <c r="D3887" s="10" t="s">
        <v>32</v>
      </c>
      <c r="E3887" s="11" t="s">
        <v>1889</v>
      </c>
      <c r="F3887" s="12">
        <v>2</v>
      </c>
      <c r="G3887" s="10" t="s">
        <v>31</v>
      </c>
      <c r="H3887" s="13"/>
      <c r="I3887" s="13"/>
      <c r="J3887" s="10"/>
    </row>
    <row r="3888" spans="1:10" x14ac:dyDescent="0.2">
      <c r="A3888" s="2" t="s">
        <v>1872</v>
      </c>
      <c r="B3888" s="9">
        <v>1</v>
      </c>
      <c r="C3888" s="9">
        <v>2</v>
      </c>
      <c r="D3888" s="10" t="s">
        <v>33</v>
      </c>
      <c r="E3888" s="11" t="s">
        <v>1890</v>
      </c>
      <c r="F3888" s="12">
        <v>2</v>
      </c>
      <c r="G3888" s="10" t="s">
        <v>31</v>
      </c>
      <c r="H3888" s="13"/>
      <c r="I3888" s="13"/>
      <c r="J3888" s="10"/>
    </row>
    <row r="3889" spans="1:10" x14ac:dyDescent="0.2">
      <c r="A3889" s="1" t="s">
        <v>1891</v>
      </c>
      <c r="B3889" s="1"/>
      <c r="C3889" s="1"/>
      <c r="D3889" s="1"/>
      <c r="E3889" s="1"/>
      <c r="F3889" s="1"/>
      <c r="G3889" s="1"/>
      <c r="H3889" s="1" t="s">
        <v>67</v>
      </c>
      <c r="I3889" s="13">
        <f>I3879+I3880+I3881+I3882+I3883+I3884+I3885+I3886+I3887+I3888</f>
        <v>0</v>
      </c>
      <c r="J3889" s="1"/>
    </row>
    <row r="3897" spans="1:10" ht="15" x14ac:dyDescent="0.25">
      <c r="A3897" s="3" t="s">
        <v>89</v>
      </c>
      <c r="B3897" s="14"/>
      <c r="C3897" s="14"/>
      <c r="D3897" s="14"/>
      <c r="E3897" s="14"/>
      <c r="F3897" s="14"/>
      <c r="G3897" s="14"/>
      <c r="H3897" s="14"/>
      <c r="I3897" s="7" t="s">
        <v>90</v>
      </c>
    </row>
    <row r="3898" spans="1:10" x14ac:dyDescent="0.2">
      <c r="A3898" s="15" t="s">
        <v>1892</v>
      </c>
      <c r="I3898" s="16">
        <f>I3872</f>
        <v>0</v>
      </c>
    </row>
    <row r="3899" spans="1:10" x14ac:dyDescent="0.2">
      <c r="A3899" s="15" t="s">
        <v>1893</v>
      </c>
      <c r="I3899" s="16">
        <f>I3889</f>
        <v>0</v>
      </c>
    </row>
    <row r="3900" spans="1:10" x14ac:dyDescent="0.2">
      <c r="A3900" s="15"/>
      <c r="I3900" s="15"/>
    </row>
    <row r="3901" spans="1:10" x14ac:dyDescent="0.2">
      <c r="A3901" s="17"/>
      <c r="B3901" s="18"/>
      <c r="C3901" s="18"/>
      <c r="D3901" s="18"/>
      <c r="E3901" s="18"/>
      <c r="F3901" s="18"/>
      <c r="G3901" s="18"/>
      <c r="H3901" s="18"/>
      <c r="I3901" s="17"/>
    </row>
    <row r="3902" spans="1:10" x14ac:dyDescent="0.2">
      <c r="H3902" s="4" t="s">
        <v>95</v>
      </c>
      <c r="I3902" s="13">
        <f>SUM(I3898:I3901)</f>
        <v>0</v>
      </c>
    </row>
    <row r="3906" spans="1:10" ht="15" x14ac:dyDescent="0.25">
      <c r="A3906" s="21" t="s">
        <v>1894</v>
      </c>
      <c r="B3906" s="22"/>
      <c r="C3906" s="22"/>
      <c r="D3906" s="22"/>
      <c r="E3906" s="22"/>
      <c r="F3906" s="22"/>
      <c r="G3906" s="22"/>
      <c r="H3906" s="22"/>
      <c r="I3906" s="22"/>
      <c r="J3906" s="22"/>
    </row>
    <row r="3907" spans="1:10" ht="15" x14ac:dyDescent="0.25">
      <c r="A3907" s="21" t="s">
        <v>1895</v>
      </c>
      <c r="B3907" s="22"/>
      <c r="C3907" s="22"/>
      <c r="D3907" s="22"/>
      <c r="E3907" s="22"/>
      <c r="F3907" s="22"/>
      <c r="G3907" s="22"/>
      <c r="H3907" s="22"/>
      <c r="I3907" s="22"/>
      <c r="J3907" s="22"/>
    </row>
    <row r="3909" spans="1:10" ht="15" x14ac:dyDescent="0.25">
      <c r="A3909" s="3" t="s">
        <v>2</v>
      </c>
      <c r="B3909" s="3" t="s">
        <v>3</v>
      </c>
      <c r="C3909" s="3" t="s">
        <v>4</v>
      </c>
      <c r="D3909" s="3" t="s">
        <v>5</v>
      </c>
      <c r="E3909" s="3" t="s">
        <v>6</v>
      </c>
      <c r="F3909" s="7" t="s">
        <v>7</v>
      </c>
      <c r="G3909" s="3" t="s">
        <v>8</v>
      </c>
      <c r="H3909" s="7" t="s">
        <v>9</v>
      </c>
      <c r="I3909" s="7" t="s">
        <v>10</v>
      </c>
      <c r="J3909" s="3" t="s">
        <v>11</v>
      </c>
    </row>
    <row r="3910" spans="1:10" x14ac:dyDescent="0.2">
      <c r="A3910" s="2" t="s">
        <v>1896</v>
      </c>
      <c r="B3910" s="9">
        <v>1</v>
      </c>
      <c r="C3910" s="9">
        <v>1</v>
      </c>
      <c r="D3910" s="10" t="s">
        <v>13</v>
      </c>
      <c r="E3910" s="11" t="s">
        <v>1304</v>
      </c>
      <c r="F3910" s="12">
        <v>0</v>
      </c>
      <c r="G3910" s="10"/>
      <c r="H3910" s="13"/>
      <c r="I3910" s="6"/>
      <c r="J3910" s="10"/>
    </row>
    <row r="3911" spans="1:10" x14ac:dyDescent="0.2">
      <c r="A3911" s="1" t="s">
        <v>1897</v>
      </c>
      <c r="B3911" s="1"/>
      <c r="C3911" s="1"/>
      <c r="D3911" s="1"/>
      <c r="E3911" s="1"/>
      <c r="F3911" s="1"/>
      <c r="G3911" s="1"/>
      <c r="H3911" s="1" t="s">
        <v>67</v>
      </c>
      <c r="I3911" s="13"/>
      <c r="J3911" s="1"/>
    </row>
    <row r="3919" spans="1:10" ht="15" x14ac:dyDescent="0.25">
      <c r="A3919" s="3" t="s">
        <v>89</v>
      </c>
      <c r="B3919" s="14"/>
      <c r="C3919" s="14"/>
      <c r="D3919" s="14"/>
      <c r="E3919" s="14"/>
      <c r="F3919" s="14"/>
      <c r="G3919" s="14"/>
      <c r="H3919" s="14"/>
      <c r="I3919" s="7" t="s">
        <v>90</v>
      </c>
    </row>
    <row r="3920" spans="1:10" x14ac:dyDescent="0.2">
      <c r="A3920" s="15" t="s">
        <v>1898</v>
      </c>
      <c r="I3920" s="16">
        <f>I3911</f>
        <v>0</v>
      </c>
    </row>
    <row r="3921" spans="1:10" x14ac:dyDescent="0.2">
      <c r="A3921" s="15"/>
      <c r="I3921" s="15"/>
    </row>
    <row r="3922" spans="1:10" x14ac:dyDescent="0.2">
      <c r="A3922" s="17"/>
      <c r="B3922" s="18"/>
      <c r="C3922" s="18"/>
      <c r="D3922" s="18"/>
      <c r="E3922" s="18"/>
      <c r="F3922" s="18"/>
      <c r="G3922" s="18"/>
      <c r="H3922" s="18"/>
      <c r="I3922" s="17"/>
    </row>
    <row r="3923" spans="1:10" x14ac:dyDescent="0.2">
      <c r="H3923" s="4" t="s">
        <v>95</v>
      </c>
      <c r="I3923" s="13">
        <f>SUM(I3920:I3922)</f>
        <v>0</v>
      </c>
    </row>
    <row r="3927" spans="1:10" ht="15" x14ac:dyDescent="0.25">
      <c r="A3927" s="21" t="s">
        <v>1899</v>
      </c>
      <c r="B3927" s="22"/>
      <c r="C3927" s="22"/>
      <c r="D3927" s="22"/>
      <c r="E3927" s="22"/>
      <c r="F3927" s="22"/>
      <c r="G3927" s="22"/>
      <c r="H3927" s="22"/>
      <c r="I3927" s="22"/>
      <c r="J3927" s="22"/>
    </row>
    <row r="3928" spans="1:10" ht="15" x14ac:dyDescent="0.25">
      <c r="A3928" s="21" t="s">
        <v>1900</v>
      </c>
      <c r="B3928" s="22"/>
      <c r="C3928" s="22"/>
      <c r="D3928" s="22"/>
      <c r="E3928" s="22"/>
      <c r="F3928" s="22"/>
      <c r="G3928" s="22"/>
      <c r="H3928" s="22"/>
      <c r="I3928" s="22"/>
      <c r="J3928" s="22"/>
    </row>
    <row r="3930" spans="1:10" ht="15" x14ac:dyDescent="0.25">
      <c r="A3930" s="3" t="s">
        <v>2</v>
      </c>
      <c r="B3930" s="3" t="s">
        <v>3</v>
      </c>
      <c r="C3930" s="3" t="s">
        <v>4</v>
      </c>
      <c r="D3930" s="3" t="s">
        <v>5</v>
      </c>
      <c r="E3930" s="3" t="s">
        <v>6</v>
      </c>
      <c r="F3930" s="7" t="s">
        <v>7</v>
      </c>
      <c r="G3930" s="3" t="s">
        <v>8</v>
      </c>
      <c r="H3930" s="7" t="s">
        <v>9</v>
      </c>
      <c r="I3930" s="7" t="s">
        <v>10</v>
      </c>
      <c r="J3930" s="3" t="s">
        <v>11</v>
      </c>
    </row>
    <row r="3931" spans="1:10" x14ac:dyDescent="0.2">
      <c r="A3931" s="2" t="s">
        <v>1901</v>
      </c>
      <c r="B3931" s="9">
        <v>1</v>
      </c>
      <c r="C3931" s="9">
        <v>1</v>
      </c>
      <c r="D3931" s="10" t="s">
        <v>13</v>
      </c>
      <c r="E3931" s="11" t="s">
        <v>1304</v>
      </c>
      <c r="F3931" s="12">
        <v>0</v>
      </c>
      <c r="G3931" s="10"/>
      <c r="H3931" s="13"/>
      <c r="I3931" s="6"/>
      <c r="J3931" s="10"/>
    </row>
    <row r="3932" spans="1:10" x14ac:dyDescent="0.2">
      <c r="A3932" s="1" t="s">
        <v>1902</v>
      </c>
      <c r="B3932" s="1"/>
      <c r="C3932" s="1"/>
      <c r="D3932" s="1"/>
      <c r="E3932" s="1"/>
      <c r="F3932" s="1"/>
      <c r="G3932" s="1"/>
      <c r="H3932" s="1" t="s">
        <v>67</v>
      </c>
      <c r="I3932" s="13"/>
      <c r="J3932" s="1"/>
    </row>
    <row r="3940" spans="1:10" ht="15" x14ac:dyDescent="0.25">
      <c r="A3940" s="3" t="s">
        <v>89</v>
      </c>
      <c r="B3940" s="14"/>
      <c r="C3940" s="14"/>
      <c r="D3940" s="14"/>
      <c r="E3940" s="14"/>
      <c r="F3940" s="14"/>
      <c r="G3940" s="14"/>
      <c r="H3940" s="14"/>
      <c r="I3940" s="7" t="s">
        <v>90</v>
      </c>
    </row>
    <row r="3941" spans="1:10" x14ac:dyDescent="0.2">
      <c r="A3941" s="15" t="s">
        <v>1903</v>
      </c>
      <c r="I3941" s="16">
        <f>I3932</f>
        <v>0</v>
      </c>
    </row>
    <row r="3942" spans="1:10" x14ac:dyDescent="0.2">
      <c r="A3942" s="15"/>
      <c r="I3942" s="15"/>
    </row>
    <row r="3943" spans="1:10" x14ac:dyDescent="0.2">
      <c r="A3943" s="17"/>
      <c r="B3943" s="18"/>
      <c r="C3943" s="18"/>
      <c r="D3943" s="18"/>
      <c r="E3943" s="18"/>
      <c r="F3943" s="18"/>
      <c r="G3943" s="18"/>
      <c r="H3943" s="18"/>
      <c r="I3943" s="17"/>
    </row>
    <row r="3944" spans="1:10" x14ac:dyDescent="0.2">
      <c r="H3944" s="4" t="s">
        <v>95</v>
      </c>
      <c r="I3944" s="13">
        <f>SUM(I3941:I3943)</f>
        <v>0</v>
      </c>
    </row>
    <row r="3948" spans="1:10" ht="15" x14ac:dyDescent="0.25">
      <c r="A3948" s="21" t="s">
        <v>1904</v>
      </c>
      <c r="B3948" s="22"/>
      <c r="C3948" s="22"/>
      <c r="D3948" s="22"/>
      <c r="E3948" s="22"/>
      <c r="F3948" s="22"/>
      <c r="G3948" s="22"/>
      <c r="H3948" s="22"/>
      <c r="I3948" s="22"/>
      <c r="J3948" s="22"/>
    </row>
    <row r="3949" spans="1:10" ht="15" x14ac:dyDescent="0.25">
      <c r="A3949" s="21" t="s">
        <v>1905</v>
      </c>
      <c r="B3949" s="22"/>
      <c r="C3949" s="22"/>
      <c r="D3949" s="22"/>
      <c r="E3949" s="22"/>
      <c r="F3949" s="22"/>
      <c r="G3949" s="22"/>
      <c r="H3949" s="22"/>
      <c r="I3949" s="22"/>
      <c r="J3949" s="22"/>
    </row>
    <row r="3951" spans="1:10" ht="15" x14ac:dyDescent="0.25">
      <c r="A3951" s="3" t="s">
        <v>2</v>
      </c>
      <c r="B3951" s="3" t="s">
        <v>3</v>
      </c>
      <c r="C3951" s="3" t="s">
        <v>4</v>
      </c>
      <c r="D3951" s="3" t="s">
        <v>5</v>
      </c>
      <c r="E3951" s="3" t="s">
        <v>6</v>
      </c>
      <c r="F3951" s="7" t="s">
        <v>7</v>
      </c>
      <c r="G3951" s="3" t="s">
        <v>8</v>
      </c>
      <c r="H3951" s="7" t="s">
        <v>9</v>
      </c>
      <c r="I3951" s="7" t="s">
        <v>10</v>
      </c>
      <c r="J3951" s="3" t="s">
        <v>11</v>
      </c>
    </row>
    <row r="3952" spans="1:10" ht="74.25" x14ac:dyDescent="0.2">
      <c r="A3952" s="2" t="s">
        <v>1906</v>
      </c>
      <c r="B3952" s="9">
        <v>1</v>
      </c>
      <c r="C3952" s="9">
        <v>1</v>
      </c>
      <c r="D3952" s="10" t="s">
        <v>13</v>
      </c>
      <c r="E3952" s="11" t="s">
        <v>1907</v>
      </c>
      <c r="F3952" s="12">
        <v>1</v>
      </c>
      <c r="G3952" s="10" t="s">
        <v>15</v>
      </c>
      <c r="H3952" s="13"/>
      <c r="I3952" s="6"/>
      <c r="J3952" s="10"/>
    </row>
    <row r="3953" spans="1:10" ht="28.5" x14ac:dyDescent="0.2">
      <c r="A3953" s="2" t="s">
        <v>1906</v>
      </c>
      <c r="B3953" s="9">
        <v>1</v>
      </c>
      <c r="C3953" s="9">
        <v>1</v>
      </c>
      <c r="D3953" s="10" t="s">
        <v>16</v>
      </c>
      <c r="E3953" s="11" t="s">
        <v>1908</v>
      </c>
      <c r="F3953" s="12">
        <v>1</v>
      </c>
      <c r="G3953" s="10" t="s">
        <v>15</v>
      </c>
      <c r="H3953" s="13"/>
      <c r="I3953" s="13"/>
      <c r="J3953" s="10"/>
    </row>
    <row r="3954" spans="1:10" ht="194.25" x14ac:dyDescent="0.2">
      <c r="A3954" s="2" t="s">
        <v>1906</v>
      </c>
      <c r="B3954" s="9">
        <v>1</v>
      </c>
      <c r="C3954" s="9">
        <v>1</v>
      </c>
      <c r="D3954" s="10" t="s">
        <v>18</v>
      </c>
      <c r="E3954" s="11" t="s">
        <v>1724</v>
      </c>
      <c r="F3954" s="12">
        <v>43</v>
      </c>
      <c r="G3954" s="10" t="s">
        <v>83</v>
      </c>
      <c r="H3954" s="13"/>
      <c r="I3954" s="13"/>
      <c r="J3954" s="10"/>
    </row>
    <row r="3955" spans="1:10" ht="44.25" x14ac:dyDescent="0.2">
      <c r="A3955" s="2" t="s">
        <v>1906</v>
      </c>
      <c r="B3955" s="9">
        <v>1</v>
      </c>
      <c r="C3955" s="9">
        <v>1</v>
      </c>
      <c r="D3955" s="10" t="s">
        <v>20</v>
      </c>
      <c r="E3955" s="11" t="s">
        <v>1249</v>
      </c>
      <c r="F3955" s="12">
        <v>48</v>
      </c>
      <c r="G3955" s="10" t="s">
        <v>83</v>
      </c>
      <c r="H3955" s="13"/>
      <c r="I3955" s="13"/>
      <c r="J3955" s="10"/>
    </row>
    <row r="3956" spans="1:10" ht="164.25" x14ac:dyDescent="0.2">
      <c r="A3956" s="2" t="s">
        <v>1906</v>
      </c>
      <c r="B3956" s="9">
        <v>1</v>
      </c>
      <c r="C3956" s="9">
        <v>1</v>
      </c>
      <c r="D3956" s="10" t="s">
        <v>22</v>
      </c>
      <c r="E3956" s="11" t="s">
        <v>1909</v>
      </c>
      <c r="F3956" s="12">
        <v>334</v>
      </c>
      <c r="G3956" s="10" t="s">
        <v>109</v>
      </c>
      <c r="H3956" s="13"/>
      <c r="I3956" s="13"/>
      <c r="J3956" s="10"/>
    </row>
    <row r="3957" spans="1:10" x14ac:dyDescent="0.2">
      <c r="A3957" s="1" t="s">
        <v>1910</v>
      </c>
      <c r="B3957" s="1"/>
      <c r="C3957" s="1"/>
      <c r="D3957" s="1"/>
      <c r="E3957" s="1"/>
      <c r="F3957" s="1"/>
      <c r="G3957" s="1"/>
      <c r="H3957" s="1" t="s">
        <v>67</v>
      </c>
      <c r="I3957" s="13">
        <f>I3953+I3954+I3955+I3956</f>
        <v>0</v>
      </c>
      <c r="J3957" s="1"/>
    </row>
    <row r="3960" spans="1:10" ht="15" x14ac:dyDescent="0.25">
      <c r="A3960" s="21" t="s">
        <v>1911</v>
      </c>
      <c r="B3960" s="22"/>
      <c r="C3960" s="22"/>
      <c r="D3960" s="22"/>
      <c r="E3960" s="22"/>
      <c r="F3960" s="22"/>
      <c r="G3960" s="22"/>
      <c r="H3960" s="22"/>
      <c r="I3960" s="22"/>
      <c r="J3960" s="22"/>
    </row>
    <row r="3961" spans="1:10" ht="15" x14ac:dyDescent="0.25">
      <c r="A3961" s="21" t="s">
        <v>1905</v>
      </c>
      <c r="B3961" s="22"/>
      <c r="C3961" s="22"/>
      <c r="D3961" s="22"/>
      <c r="E3961" s="22"/>
      <c r="F3961" s="22"/>
      <c r="G3961" s="22"/>
      <c r="H3961" s="22"/>
      <c r="I3961" s="22"/>
      <c r="J3961" s="22"/>
    </row>
    <row r="3963" spans="1:10" ht="15" x14ac:dyDescent="0.25">
      <c r="A3963" s="3" t="s">
        <v>2</v>
      </c>
      <c r="B3963" s="3" t="s">
        <v>3</v>
      </c>
      <c r="C3963" s="3" t="s">
        <v>4</v>
      </c>
      <c r="D3963" s="3" t="s">
        <v>5</v>
      </c>
      <c r="E3963" s="3" t="s">
        <v>6</v>
      </c>
      <c r="F3963" s="7" t="s">
        <v>7</v>
      </c>
      <c r="G3963" s="3" t="s">
        <v>8</v>
      </c>
      <c r="H3963" s="7" t="s">
        <v>9</v>
      </c>
      <c r="I3963" s="7" t="s">
        <v>10</v>
      </c>
      <c r="J3963" s="3" t="s">
        <v>11</v>
      </c>
    </row>
    <row r="3964" spans="1:10" ht="134.25" x14ac:dyDescent="0.2">
      <c r="A3964" s="2" t="s">
        <v>1906</v>
      </c>
      <c r="B3964" s="9">
        <v>1</v>
      </c>
      <c r="C3964" s="9">
        <v>2</v>
      </c>
      <c r="D3964" s="10" t="s">
        <v>13</v>
      </c>
      <c r="E3964" s="11" t="s">
        <v>1912</v>
      </c>
      <c r="F3964" s="12">
        <v>43</v>
      </c>
      <c r="G3964" s="10" t="s">
        <v>83</v>
      </c>
      <c r="H3964" s="13"/>
      <c r="I3964" s="13"/>
      <c r="J3964" s="10"/>
    </row>
    <row r="3965" spans="1:10" ht="134.25" x14ac:dyDescent="0.2">
      <c r="A3965" s="2" t="s">
        <v>1906</v>
      </c>
      <c r="B3965" s="9">
        <v>1</v>
      </c>
      <c r="C3965" s="9">
        <v>2</v>
      </c>
      <c r="D3965" s="10" t="s">
        <v>16</v>
      </c>
      <c r="E3965" s="11" t="s">
        <v>1913</v>
      </c>
      <c r="F3965" s="12">
        <v>208</v>
      </c>
      <c r="G3965" s="10" t="s">
        <v>109</v>
      </c>
      <c r="H3965" s="13"/>
      <c r="I3965" s="13"/>
      <c r="J3965" s="10"/>
    </row>
    <row r="3966" spans="1:10" ht="119.25" x14ac:dyDescent="0.2">
      <c r="A3966" s="2" t="s">
        <v>1906</v>
      </c>
      <c r="B3966" s="9">
        <v>1</v>
      </c>
      <c r="C3966" s="9">
        <v>2</v>
      </c>
      <c r="D3966" s="10" t="s">
        <v>18</v>
      </c>
      <c r="E3966" s="11" t="s">
        <v>1914</v>
      </c>
      <c r="F3966" s="12">
        <v>111.00000000000001</v>
      </c>
      <c r="G3966" s="10" t="s">
        <v>83</v>
      </c>
      <c r="H3966" s="13"/>
      <c r="I3966" s="13"/>
      <c r="J3966" s="10"/>
    </row>
    <row r="3967" spans="1:10" x14ac:dyDescent="0.2">
      <c r="A3967" s="1" t="s">
        <v>1915</v>
      </c>
      <c r="B3967" s="1"/>
      <c r="C3967" s="1"/>
      <c r="D3967" s="1"/>
      <c r="E3967" s="1"/>
      <c r="F3967" s="1"/>
      <c r="G3967" s="1"/>
      <c r="H3967" s="1" t="s">
        <v>67</v>
      </c>
      <c r="I3967" s="13">
        <f>I3964+I3965+I3966</f>
        <v>0</v>
      </c>
      <c r="J3967" s="1"/>
    </row>
    <row r="3975" spans="1:10" ht="15" x14ac:dyDescent="0.25">
      <c r="A3975" s="3" t="s">
        <v>89</v>
      </c>
      <c r="B3975" s="14"/>
      <c r="C3975" s="14"/>
      <c r="D3975" s="14"/>
      <c r="E3975" s="14"/>
      <c r="F3975" s="14"/>
      <c r="G3975" s="14"/>
      <c r="H3975" s="14"/>
      <c r="I3975" s="7" t="s">
        <v>90</v>
      </c>
    </row>
    <row r="3976" spans="1:10" x14ac:dyDescent="0.2">
      <c r="A3976" s="15" t="s">
        <v>1916</v>
      </c>
      <c r="I3976" s="16">
        <f>I3957</f>
        <v>0</v>
      </c>
    </row>
    <row r="3977" spans="1:10" x14ac:dyDescent="0.2">
      <c r="A3977" s="15" t="s">
        <v>1917</v>
      </c>
      <c r="I3977" s="16">
        <f>I3967</f>
        <v>0</v>
      </c>
    </row>
    <row r="3978" spans="1:10" x14ac:dyDescent="0.2">
      <c r="A3978" s="15"/>
      <c r="I3978" s="15"/>
    </row>
    <row r="3979" spans="1:10" x14ac:dyDescent="0.2">
      <c r="A3979" s="17"/>
      <c r="B3979" s="18"/>
      <c r="C3979" s="18"/>
      <c r="D3979" s="18"/>
      <c r="E3979" s="18"/>
      <c r="F3979" s="18"/>
      <c r="G3979" s="18"/>
      <c r="H3979" s="18"/>
      <c r="I3979" s="17"/>
    </row>
    <row r="3980" spans="1:10" x14ac:dyDescent="0.2">
      <c r="H3980" s="4" t="s">
        <v>95</v>
      </c>
      <c r="I3980" s="13">
        <f>SUM(I3976:I3979)</f>
        <v>0</v>
      </c>
    </row>
    <row r="3984" spans="1:10" ht="15" x14ac:dyDescent="0.25">
      <c r="A3984" s="21" t="s">
        <v>1918</v>
      </c>
      <c r="B3984" s="22"/>
      <c r="C3984" s="22"/>
      <c r="D3984" s="22"/>
      <c r="E3984" s="22"/>
      <c r="F3984" s="22"/>
      <c r="G3984" s="22"/>
      <c r="H3984" s="22"/>
      <c r="I3984" s="22"/>
      <c r="J3984" s="22"/>
    </row>
    <row r="3985" spans="1:10" ht="15" x14ac:dyDescent="0.25">
      <c r="A3985" s="21" t="s">
        <v>1919</v>
      </c>
      <c r="B3985" s="22"/>
      <c r="C3985" s="22"/>
      <c r="D3985" s="22"/>
      <c r="E3985" s="22"/>
      <c r="F3985" s="22"/>
      <c r="G3985" s="22"/>
      <c r="H3985" s="22"/>
      <c r="I3985" s="22"/>
      <c r="J3985" s="22"/>
    </row>
    <row r="3987" spans="1:10" ht="15" x14ac:dyDescent="0.25">
      <c r="A3987" s="3" t="s">
        <v>2</v>
      </c>
      <c r="B3987" s="3" t="s">
        <v>3</v>
      </c>
      <c r="C3987" s="3" t="s">
        <v>4</v>
      </c>
      <c r="D3987" s="3" t="s">
        <v>5</v>
      </c>
      <c r="E3987" s="3" t="s">
        <v>6</v>
      </c>
      <c r="F3987" s="7" t="s">
        <v>7</v>
      </c>
      <c r="G3987" s="3" t="s">
        <v>8</v>
      </c>
      <c r="H3987" s="7" t="s">
        <v>9</v>
      </c>
      <c r="I3987" s="7" t="s">
        <v>10</v>
      </c>
      <c r="J3987" s="3" t="s">
        <v>11</v>
      </c>
    </row>
    <row r="3988" spans="1:10" ht="44.25" x14ac:dyDescent="0.2">
      <c r="A3988" s="2" t="s">
        <v>1920</v>
      </c>
      <c r="B3988" s="9">
        <v>1</v>
      </c>
      <c r="C3988" s="9">
        <v>1</v>
      </c>
      <c r="D3988" s="10" t="s">
        <v>13</v>
      </c>
      <c r="E3988" s="11" t="s">
        <v>1921</v>
      </c>
      <c r="F3988" s="12">
        <v>520</v>
      </c>
      <c r="G3988" s="10" t="s">
        <v>109</v>
      </c>
      <c r="H3988" s="13"/>
      <c r="I3988" s="13"/>
      <c r="J3988" s="10"/>
    </row>
    <row r="3989" spans="1:10" x14ac:dyDescent="0.2">
      <c r="A3989" s="2" t="s">
        <v>1920</v>
      </c>
      <c r="B3989" s="9">
        <v>1</v>
      </c>
      <c r="C3989" s="9">
        <v>1</v>
      </c>
      <c r="D3989" s="10" t="s">
        <v>16</v>
      </c>
      <c r="E3989" s="11" t="s">
        <v>1922</v>
      </c>
      <c r="F3989" s="12">
        <v>104</v>
      </c>
      <c r="G3989" s="10" t="s">
        <v>79</v>
      </c>
      <c r="H3989" s="13"/>
      <c r="I3989" s="6"/>
      <c r="J3989" s="10"/>
    </row>
    <row r="3990" spans="1:10" ht="134.25" x14ac:dyDescent="0.2">
      <c r="A3990" s="2" t="s">
        <v>1920</v>
      </c>
      <c r="B3990" s="9">
        <v>1</v>
      </c>
      <c r="C3990" s="9">
        <v>1</v>
      </c>
      <c r="D3990" s="10" t="s">
        <v>18</v>
      </c>
      <c r="E3990" s="11" t="s">
        <v>1923</v>
      </c>
      <c r="F3990" s="12">
        <v>520</v>
      </c>
      <c r="G3990" s="10" t="s">
        <v>109</v>
      </c>
      <c r="H3990" s="13"/>
      <c r="I3990" s="13"/>
      <c r="J3990" s="10"/>
    </row>
    <row r="3991" spans="1:10" x14ac:dyDescent="0.2">
      <c r="A3991" s="1" t="s">
        <v>1924</v>
      </c>
      <c r="B3991" s="1"/>
      <c r="C3991" s="1"/>
      <c r="D3991" s="1"/>
      <c r="E3991" s="1"/>
      <c r="F3991" s="1"/>
      <c r="G3991" s="1"/>
      <c r="H3991" s="1" t="s">
        <v>67</v>
      </c>
      <c r="I3991" s="13">
        <f>I3988+I3990</f>
        <v>0</v>
      </c>
      <c r="J3991" s="1"/>
    </row>
    <row r="3999" spans="1:10" ht="15" x14ac:dyDescent="0.25">
      <c r="A3999" s="3" t="s">
        <v>89</v>
      </c>
      <c r="B3999" s="14"/>
      <c r="C3999" s="14"/>
      <c r="D3999" s="14"/>
      <c r="E3999" s="14"/>
      <c r="F3999" s="14"/>
      <c r="G3999" s="14"/>
      <c r="H3999" s="14"/>
      <c r="I3999" s="7" t="s">
        <v>90</v>
      </c>
    </row>
    <row r="4000" spans="1:10" x14ac:dyDescent="0.2">
      <c r="A4000" s="15" t="s">
        <v>1925</v>
      </c>
      <c r="I4000" s="16">
        <f>I3991</f>
        <v>0</v>
      </c>
    </row>
    <row r="4001" spans="1:10" x14ac:dyDescent="0.2">
      <c r="A4001" s="15"/>
      <c r="I4001" s="15"/>
    </row>
    <row r="4002" spans="1:10" x14ac:dyDescent="0.2">
      <c r="A4002" s="17"/>
      <c r="B4002" s="18"/>
      <c r="C4002" s="18"/>
      <c r="D4002" s="18"/>
      <c r="E4002" s="18"/>
      <c r="F4002" s="18"/>
      <c r="G4002" s="18"/>
      <c r="H4002" s="18"/>
      <c r="I4002" s="17"/>
    </row>
    <row r="4003" spans="1:10" x14ac:dyDescent="0.2">
      <c r="H4003" s="4" t="s">
        <v>95</v>
      </c>
      <c r="I4003" s="13">
        <f>SUM(I4000:I4002)</f>
        <v>0</v>
      </c>
    </row>
    <row r="4007" spans="1:10" ht="15" x14ac:dyDescent="0.25">
      <c r="A4007" s="21" t="s">
        <v>1926</v>
      </c>
      <c r="B4007" s="22"/>
      <c r="C4007" s="22"/>
      <c r="D4007" s="22"/>
      <c r="E4007" s="22"/>
      <c r="F4007" s="22"/>
      <c r="G4007" s="22"/>
      <c r="H4007" s="22"/>
      <c r="I4007" s="22"/>
      <c r="J4007" s="22"/>
    </row>
    <row r="4008" spans="1:10" ht="15" x14ac:dyDescent="0.25">
      <c r="A4008" s="21" t="s">
        <v>1927</v>
      </c>
      <c r="B4008" s="22"/>
      <c r="C4008" s="22"/>
      <c r="D4008" s="22"/>
      <c r="E4008" s="22"/>
      <c r="F4008" s="22"/>
      <c r="G4008" s="22"/>
      <c r="H4008" s="22"/>
      <c r="I4008" s="22"/>
      <c r="J4008" s="22"/>
    </row>
    <row r="4010" spans="1:10" ht="15" x14ac:dyDescent="0.25">
      <c r="A4010" s="3" t="s">
        <v>2</v>
      </c>
      <c r="B4010" s="3" t="s">
        <v>3</v>
      </c>
      <c r="C4010" s="3" t="s">
        <v>4</v>
      </c>
      <c r="D4010" s="3" t="s">
        <v>5</v>
      </c>
      <c r="E4010" s="3" t="s">
        <v>6</v>
      </c>
      <c r="F4010" s="7" t="s">
        <v>7</v>
      </c>
      <c r="G4010" s="3" t="s">
        <v>8</v>
      </c>
      <c r="H4010" s="7" t="s">
        <v>9</v>
      </c>
      <c r="I4010" s="7" t="s">
        <v>10</v>
      </c>
      <c r="J4010" s="3" t="s">
        <v>11</v>
      </c>
    </row>
    <row r="4011" spans="1:10" ht="149.25" x14ac:dyDescent="0.2">
      <c r="A4011" s="2" t="s">
        <v>1928</v>
      </c>
      <c r="B4011" s="9">
        <v>1</v>
      </c>
      <c r="C4011" s="9">
        <v>1</v>
      </c>
      <c r="D4011" s="10" t="s">
        <v>13</v>
      </c>
      <c r="E4011" s="11" t="s">
        <v>1929</v>
      </c>
      <c r="F4011" s="12">
        <v>8</v>
      </c>
      <c r="G4011" s="10" t="s">
        <v>79</v>
      </c>
      <c r="H4011" s="13"/>
      <c r="I4011" s="13"/>
      <c r="J4011" s="10"/>
    </row>
    <row r="4012" spans="1:10" x14ac:dyDescent="0.2">
      <c r="A4012" s="2" t="s">
        <v>1928</v>
      </c>
      <c r="B4012" s="9">
        <v>1</v>
      </c>
      <c r="C4012" s="9">
        <v>1</v>
      </c>
      <c r="D4012" s="10" t="s">
        <v>16</v>
      </c>
      <c r="E4012" s="11" t="s">
        <v>1930</v>
      </c>
      <c r="F4012" s="12">
        <v>32</v>
      </c>
      <c r="G4012" s="10" t="s">
        <v>79</v>
      </c>
      <c r="H4012" s="13"/>
      <c r="I4012" s="6"/>
      <c r="J4012" s="10"/>
    </row>
    <row r="4013" spans="1:10" x14ac:dyDescent="0.2">
      <c r="A4013" s="2" t="s">
        <v>1928</v>
      </c>
      <c r="B4013" s="9">
        <v>1</v>
      </c>
      <c r="C4013" s="9">
        <v>1</v>
      </c>
      <c r="D4013" s="10" t="s">
        <v>18</v>
      </c>
      <c r="E4013" s="11" t="s">
        <v>1931</v>
      </c>
      <c r="F4013" s="12">
        <v>100</v>
      </c>
      <c r="G4013" s="10" t="s">
        <v>79</v>
      </c>
      <c r="H4013" s="13"/>
      <c r="I4013" s="6"/>
      <c r="J4013" s="10"/>
    </row>
    <row r="4014" spans="1:10" x14ac:dyDescent="0.2">
      <c r="A4014" s="2" t="s">
        <v>1928</v>
      </c>
      <c r="B4014" s="9">
        <v>1</v>
      </c>
      <c r="C4014" s="9">
        <v>1</v>
      </c>
      <c r="D4014" s="10" t="s">
        <v>20</v>
      </c>
      <c r="E4014" s="11" t="s">
        <v>1932</v>
      </c>
      <c r="F4014" s="12">
        <v>50</v>
      </c>
      <c r="G4014" s="10" t="s">
        <v>79</v>
      </c>
      <c r="H4014" s="13"/>
      <c r="I4014" s="6"/>
      <c r="J4014" s="10"/>
    </row>
    <row r="4015" spans="1:10" x14ac:dyDescent="0.2">
      <c r="A4015" s="2" t="s">
        <v>1928</v>
      </c>
      <c r="B4015" s="9">
        <v>1</v>
      </c>
      <c r="C4015" s="9">
        <v>1</v>
      </c>
      <c r="D4015" s="10" t="s">
        <v>22</v>
      </c>
      <c r="E4015" s="11" t="s">
        <v>1933</v>
      </c>
      <c r="F4015" s="12">
        <v>39</v>
      </c>
      <c r="G4015" s="10" t="s">
        <v>79</v>
      </c>
      <c r="H4015" s="13"/>
      <c r="I4015" s="6"/>
      <c r="J4015" s="10"/>
    </row>
    <row r="4016" spans="1:10" x14ac:dyDescent="0.2">
      <c r="A4016" s="2" t="s">
        <v>1928</v>
      </c>
      <c r="B4016" s="9">
        <v>1</v>
      </c>
      <c r="C4016" s="9">
        <v>1</v>
      </c>
      <c r="D4016" s="10" t="s">
        <v>24</v>
      </c>
      <c r="E4016" s="11" t="s">
        <v>1934</v>
      </c>
      <c r="F4016" s="12">
        <v>130</v>
      </c>
      <c r="G4016" s="10" t="s">
        <v>79</v>
      </c>
      <c r="H4016" s="13"/>
      <c r="I4016" s="6"/>
      <c r="J4016" s="10"/>
    </row>
    <row r="4017" spans="1:10" x14ac:dyDescent="0.2">
      <c r="A4017" s="1" t="s">
        <v>1935</v>
      </c>
      <c r="B4017" s="1"/>
      <c r="C4017" s="1"/>
      <c r="D4017" s="1"/>
      <c r="E4017" s="1"/>
      <c r="F4017" s="1"/>
      <c r="G4017" s="1"/>
      <c r="H4017" s="1" t="s">
        <v>67</v>
      </c>
      <c r="I4017" s="13">
        <f>I4011</f>
        <v>0</v>
      </c>
      <c r="J4017" s="1"/>
    </row>
    <row r="4025" spans="1:10" ht="15" x14ac:dyDescent="0.25">
      <c r="A4025" s="3" t="s">
        <v>89</v>
      </c>
      <c r="B4025" s="14"/>
      <c r="C4025" s="14"/>
      <c r="D4025" s="14"/>
      <c r="E4025" s="14"/>
      <c r="F4025" s="14"/>
      <c r="G4025" s="14"/>
      <c r="H4025" s="14"/>
      <c r="I4025" s="7" t="s">
        <v>90</v>
      </c>
    </row>
    <row r="4026" spans="1:10" x14ac:dyDescent="0.2">
      <c r="A4026" s="15" t="s">
        <v>1936</v>
      </c>
      <c r="I4026" s="16">
        <f>I4017</f>
        <v>0</v>
      </c>
    </row>
    <row r="4027" spans="1:10" x14ac:dyDescent="0.2">
      <c r="A4027" s="15"/>
      <c r="I4027" s="15"/>
    </row>
    <row r="4028" spans="1:10" x14ac:dyDescent="0.2">
      <c r="A4028" s="17"/>
      <c r="B4028" s="18"/>
      <c r="C4028" s="18"/>
      <c r="D4028" s="18"/>
      <c r="E4028" s="18"/>
      <c r="F4028" s="18"/>
      <c r="G4028" s="18"/>
      <c r="H4028" s="18"/>
      <c r="I4028" s="17"/>
    </row>
    <row r="4029" spans="1:10" x14ac:dyDescent="0.2">
      <c r="H4029" s="4" t="s">
        <v>95</v>
      </c>
      <c r="I4029" s="13">
        <f>SUM(I4026:I4028)</f>
        <v>0</v>
      </c>
    </row>
    <row r="4033" spans="1:10" ht="15" x14ac:dyDescent="0.25">
      <c r="A4033" s="21" t="s">
        <v>1937</v>
      </c>
      <c r="B4033" s="22"/>
      <c r="C4033" s="22"/>
      <c r="D4033" s="22"/>
      <c r="E4033" s="22"/>
      <c r="F4033" s="22"/>
      <c r="G4033" s="22"/>
      <c r="H4033" s="22"/>
      <c r="I4033" s="22"/>
      <c r="J4033" s="22"/>
    </row>
    <row r="4034" spans="1:10" ht="15" x14ac:dyDescent="0.25">
      <c r="A4034" s="21" t="s">
        <v>1938</v>
      </c>
      <c r="B4034" s="22"/>
      <c r="C4034" s="22"/>
      <c r="D4034" s="22"/>
      <c r="E4034" s="22"/>
      <c r="F4034" s="22"/>
      <c r="G4034" s="22"/>
      <c r="H4034" s="22"/>
      <c r="I4034" s="22"/>
      <c r="J4034" s="22"/>
    </row>
    <row r="4036" spans="1:10" ht="15" x14ac:dyDescent="0.25">
      <c r="A4036" s="3" t="s">
        <v>2</v>
      </c>
      <c r="B4036" s="3" t="s">
        <v>3</v>
      </c>
      <c r="C4036" s="3" t="s">
        <v>4</v>
      </c>
      <c r="D4036" s="3" t="s">
        <v>5</v>
      </c>
      <c r="E4036" s="3" t="s">
        <v>6</v>
      </c>
      <c r="F4036" s="7" t="s">
        <v>7</v>
      </c>
      <c r="G4036" s="3" t="s">
        <v>8</v>
      </c>
      <c r="H4036" s="7" t="s">
        <v>9</v>
      </c>
      <c r="I4036" s="7" t="s">
        <v>10</v>
      </c>
      <c r="J4036" s="3" t="s">
        <v>11</v>
      </c>
    </row>
    <row r="4037" spans="1:10" ht="74.25" x14ac:dyDescent="0.2">
      <c r="A4037" s="2" t="s">
        <v>1939</v>
      </c>
      <c r="B4037" s="9">
        <v>1</v>
      </c>
      <c r="C4037" s="9">
        <v>1</v>
      </c>
      <c r="D4037" s="10" t="s">
        <v>13</v>
      </c>
      <c r="E4037" s="11" t="s">
        <v>1940</v>
      </c>
      <c r="F4037" s="12">
        <v>1</v>
      </c>
      <c r="G4037" s="10" t="s">
        <v>127</v>
      </c>
      <c r="H4037" s="13"/>
      <c r="I4037" s="13"/>
      <c r="J4037" s="10"/>
    </row>
    <row r="4038" spans="1:10" x14ac:dyDescent="0.2">
      <c r="A4038" s="2" t="s">
        <v>1939</v>
      </c>
      <c r="B4038" s="9">
        <v>1</v>
      </c>
      <c r="C4038" s="9">
        <v>1</v>
      </c>
      <c r="D4038" s="10" t="s">
        <v>16</v>
      </c>
      <c r="E4038" s="11" t="s">
        <v>1941</v>
      </c>
      <c r="F4038" s="12">
        <v>1</v>
      </c>
      <c r="G4038" s="10" t="s">
        <v>127</v>
      </c>
      <c r="H4038" s="13"/>
      <c r="I4038" s="13"/>
      <c r="J4038" s="10"/>
    </row>
    <row r="4039" spans="1:10" x14ac:dyDescent="0.2">
      <c r="A4039" s="2" t="s">
        <v>1939</v>
      </c>
      <c r="B4039" s="9">
        <v>1</v>
      </c>
      <c r="C4039" s="9">
        <v>1</v>
      </c>
      <c r="D4039" s="10" t="s">
        <v>18</v>
      </c>
      <c r="E4039" s="11" t="s">
        <v>1942</v>
      </c>
      <c r="F4039" s="12">
        <v>1</v>
      </c>
      <c r="G4039" s="10" t="s">
        <v>127</v>
      </c>
      <c r="H4039" s="13"/>
      <c r="I4039" s="6"/>
      <c r="J4039" s="10"/>
    </row>
    <row r="4040" spans="1:10" x14ac:dyDescent="0.2">
      <c r="A4040" s="2" t="s">
        <v>1939</v>
      </c>
      <c r="B4040" s="9">
        <v>1</v>
      </c>
      <c r="C4040" s="9">
        <v>1</v>
      </c>
      <c r="D4040" s="10" t="s">
        <v>18</v>
      </c>
      <c r="E4040" s="11" t="s">
        <v>1943</v>
      </c>
      <c r="F4040" s="12">
        <v>1</v>
      </c>
      <c r="G4040" s="10" t="s">
        <v>127</v>
      </c>
      <c r="H4040" s="13"/>
      <c r="I4040" s="13"/>
      <c r="J4040" s="10"/>
    </row>
    <row r="4041" spans="1:10" x14ac:dyDescent="0.2">
      <c r="A4041" s="2" t="s">
        <v>1939</v>
      </c>
      <c r="B4041" s="9">
        <v>1</v>
      </c>
      <c r="C4041" s="9">
        <v>1</v>
      </c>
      <c r="D4041" s="10" t="s">
        <v>18</v>
      </c>
      <c r="E4041" s="11" t="s">
        <v>1944</v>
      </c>
      <c r="F4041" s="12">
        <v>1</v>
      </c>
      <c r="G4041" s="10" t="s">
        <v>127</v>
      </c>
      <c r="H4041" s="13"/>
      <c r="I4041" s="13"/>
      <c r="J4041" s="10"/>
    </row>
    <row r="4042" spans="1:10" x14ac:dyDescent="0.2">
      <c r="A4042" s="2" t="s">
        <v>1939</v>
      </c>
      <c r="B4042" s="9">
        <v>1</v>
      </c>
      <c r="C4042" s="9">
        <v>1</v>
      </c>
      <c r="D4042" s="10" t="s">
        <v>18</v>
      </c>
      <c r="E4042" s="11" t="s">
        <v>1945</v>
      </c>
      <c r="F4042" s="12">
        <v>1</v>
      </c>
      <c r="G4042" s="10" t="s">
        <v>127</v>
      </c>
      <c r="H4042" s="13"/>
      <c r="I4042" s="13"/>
      <c r="J4042" s="10"/>
    </row>
    <row r="4043" spans="1:10" ht="44.25" x14ac:dyDescent="0.2">
      <c r="A4043" s="2" t="s">
        <v>1939</v>
      </c>
      <c r="B4043" s="9">
        <v>1</v>
      </c>
      <c r="C4043" s="9">
        <v>1</v>
      </c>
      <c r="D4043" s="10" t="s">
        <v>20</v>
      </c>
      <c r="E4043" s="11" t="s">
        <v>1946</v>
      </c>
      <c r="F4043" s="12">
        <v>1</v>
      </c>
      <c r="G4043" s="10" t="s">
        <v>127</v>
      </c>
      <c r="H4043" s="13"/>
      <c r="I4043" s="13"/>
      <c r="J4043" s="10"/>
    </row>
    <row r="4044" spans="1:10" x14ac:dyDescent="0.2">
      <c r="A4044" s="2" t="s">
        <v>1939</v>
      </c>
      <c r="B4044" s="9">
        <v>1</v>
      </c>
      <c r="C4044" s="9">
        <v>1</v>
      </c>
      <c r="D4044" s="10" t="s">
        <v>22</v>
      </c>
      <c r="E4044" s="11" t="s">
        <v>1947</v>
      </c>
      <c r="F4044" s="12">
        <v>1</v>
      </c>
      <c r="G4044" s="10" t="s">
        <v>100</v>
      </c>
      <c r="H4044" s="13"/>
      <c r="I4044" s="13"/>
      <c r="J4044" s="10"/>
    </row>
    <row r="4045" spans="1:10" ht="44.25" x14ac:dyDescent="0.2">
      <c r="A4045" s="2" t="s">
        <v>1939</v>
      </c>
      <c r="B4045" s="9">
        <v>1</v>
      </c>
      <c r="C4045" s="9">
        <v>1</v>
      </c>
      <c r="D4045" s="10" t="s">
        <v>24</v>
      </c>
      <c r="E4045" s="11" t="s">
        <v>1948</v>
      </c>
      <c r="F4045" s="12">
        <v>1</v>
      </c>
      <c r="G4045" s="10" t="s">
        <v>127</v>
      </c>
      <c r="H4045" s="13"/>
      <c r="I4045" s="13"/>
      <c r="J4045" s="10"/>
    </row>
    <row r="4046" spans="1:10" x14ac:dyDescent="0.2">
      <c r="A4046" s="2" t="s">
        <v>1939</v>
      </c>
      <c r="B4046" s="9">
        <v>1</v>
      </c>
      <c r="C4046" s="9">
        <v>1</v>
      </c>
      <c r="D4046" s="10" t="s">
        <v>27</v>
      </c>
      <c r="E4046" s="11" t="s">
        <v>1949</v>
      </c>
      <c r="F4046" s="12">
        <v>1</v>
      </c>
      <c r="G4046" s="10" t="s">
        <v>127</v>
      </c>
      <c r="H4046" s="13"/>
      <c r="I4046" s="13"/>
      <c r="J4046" s="10"/>
    </row>
    <row r="4047" spans="1:10" x14ac:dyDescent="0.2">
      <c r="A4047" s="2" t="s">
        <v>1939</v>
      </c>
      <c r="B4047" s="9">
        <v>1</v>
      </c>
      <c r="C4047" s="9">
        <v>1</v>
      </c>
      <c r="D4047" s="10" t="s">
        <v>29</v>
      </c>
      <c r="E4047" s="11" t="s">
        <v>1950</v>
      </c>
      <c r="F4047" s="12">
        <v>1</v>
      </c>
      <c r="G4047" s="10" t="s">
        <v>127</v>
      </c>
      <c r="H4047" s="13"/>
      <c r="I4047" s="13"/>
      <c r="J4047" s="10"/>
    </row>
    <row r="4048" spans="1:10" x14ac:dyDescent="0.2">
      <c r="A4048" s="2" t="s">
        <v>1939</v>
      </c>
      <c r="B4048" s="9">
        <v>1</v>
      </c>
      <c r="C4048" s="9">
        <v>1</v>
      </c>
      <c r="D4048" s="10" t="s">
        <v>32</v>
      </c>
      <c r="E4048" s="11" t="s">
        <v>1951</v>
      </c>
      <c r="F4048" s="12">
        <v>1</v>
      </c>
      <c r="G4048" s="10" t="s">
        <v>127</v>
      </c>
      <c r="H4048" s="13"/>
      <c r="I4048" s="13"/>
      <c r="J4048" s="10"/>
    </row>
    <row r="4049" spans="1:10" x14ac:dyDescent="0.2">
      <c r="A4049" s="2" t="s">
        <v>1939</v>
      </c>
      <c r="B4049" s="9">
        <v>1</v>
      </c>
      <c r="C4049" s="9">
        <v>1</v>
      </c>
      <c r="D4049" s="10" t="s">
        <v>33</v>
      </c>
      <c r="E4049" s="11" t="s">
        <v>1952</v>
      </c>
      <c r="F4049" s="12">
        <v>1</v>
      </c>
      <c r="G4049" s="10" t="s">
        <v>127</v>
      </c>
      <c r="H4049" s="13"/>
      <c r="I4049" s="13"/>
      <c r="J4049" s="10"/>
    </row>
    <row r="4050" spans="1:10" x14ac:dyDescent="0.2">
      <c r="A4050" s="2" t="s">
        <v>1939</v>
      </c>
      <c r="B4050" s="9">
        <v>1</v>
      </c>
      <c r="C4050" s="9">
        <v>1</v>
      </c>
      <c r="D4050" s="10" t="s">
        <v>34</v>
      </c>
      <c r="E4050" s="11" t="s">
        <v>1953</v>
      </c>
      <c r="F4050" s="12">
        <v>1</v>
      </c>
      <c r="G4050" s="10" t="s">
        <v>127</v>
      </c>
      <c r="H4050" s="13"/>
      <c r="I4050" s="13"/>
      <c r="J4050" s="10"/>
    </row>
    <row r="4051" spans="1:10" x14ac:dyDescent="0.2">
      <c r="A4051" s="2" t="s">
        <v>1939</v>
      </c>
      <c r="B4051" s="9">
        <v>1</v>
      </c>
      <c r="C4051" s="9">
        <v>1</v>
      </c>
      <c r="D4051" s="10" t="s">
        <v>35</v>
      </c>
      <c r="E4051" s="11" t="s">
        <v>1954</v>
      </c>
      <c r="F4051" s="12">
        <v>1</v>
      </c>
      <c r="G4051" s="10" t="s">
        <v>127</v>
      </c>
      <c r="H4051" s="13"/>
      <c r="I4051" s="13"/>
      <c r="J4051" s="10"/>
    </row>
    <row r="4052" spans="1:10" ht="72.75" x14ac:dyDescent="0.2">
      <c r="A4052" s="2" t="s">
        <v>1939</v>
      </c>
      <c r="B4052" s="9">
        <v>1</v>
      </c>
      <c r="C4052" s="9">
        <v>1</v>
      </c>
      <c r="D4052" s="10" t="s">
        <v>36</v>
      </c>
      <c r="E4052" s="11" t="s">
        <v>1955</v>
      </c>
      <c r="F4052" s="12">
        <v>1</v>
      </c>
      <c r="G4052" s="10" t="s">
        <v>127</v>
      </c>
      <c r="H4052" s="13"/>
      <c r="I4052" s="13"/>
      <c r="J4052" s="10"/>
    </row>
    <row r="4053" spans="1:10" ht="44.25" x14ac:dyDescent="0.2">
      <c r="A4053" s="2" t="s">
        <v>1939</v>
      </c>
      <c r="B4053" s="9">
        <v>1</v>
      </c>
      <c r="C4053" s="9">
        <v>1</v>
      </c>
      <c r="D4053" s="10" t="s">
        <v>38</v>
      </c>
      <c r="E4053" s="11" t="s">
        <v>1956</v>
      </c>
      <c r="F4053" s="12">
        <v>1</v>
      </c>
      <c r="G4053" s="10" t="s">
        <v>127</v>
      </c>
      <c r="H4053" s="13"/>
      <c r="I4053" s="13"/>
      <c r="J4053" s="10"/>
    </row>
    <row r="4054" spans="1:10" x14ac:dyDescent="0.2">
      <c r="A4054" s="2" t="s">
        <v>1939</v>
      </c>
      <c r="B4054" s="9">
        <v>1</v>
      </c>
      <c r="C4054" s="9">
        <v>1</v>
      </c>
      <c r="D4054" s="10" t="s">
        <v>40</v>
      </c>
      <c r="E4054" s="11" t="s">
        <v>1957</v>
      </c>
      <c r="F4054" s="12">
        <v>1</v>
      </c>
      <c r="G4054" s="10" t="s">
        <v>127</v>
      </c>
      <c r="H4054" s="13"/>
      <c r="I4054" s="13"/>
      <c r="J4054" s="10"/>
    </row>
    <row r="4055" spans="1:10" x14ac:dyDescent="0.2">
      <c r="A4055" s="1" t="s">
        <v>1958</v>
      </c>
      <c r="B4055" s="1"/>
      <c r="C4055" s="1"/>
      <c r="D4055" s="1"/>
      <c r="E4055" s="1"/>
      <c r="F4055" s="1"/>
      <c r="G4055" s="1"/>
      <c r="H4055" s="1" t="s">
        <v>67</v>
      </c>
      <c r="I4055" s="13">
        <f>I4037+I4038+I4040+I4041+I4042+I4043+I4044+I4045+I4046+I4047+I4048+I4049+I4050+I4051+I4052+I4053+I4054</f>
        <v>0</v>
      </c>
      <c r="J4055" s="1"/>
    </row>
    <row r="4063" spans="1:10" ht="15" x14ac:dyDescent="0.25">
      <c r="A4063" s="3" t="s">
        <v>89</v>
      </c>
      <c r="B4063" s="14"/>
      <c r="C4063" s="14"/>
      <c r="D4063" s="14"/>
      <c r="E4063" s="14"/>
      <c r="F4063" s="14"/>
      <c r="G4063" s="14"/>
      <c r="H4063" s="14"/>
      <c r="I4063" s="7" t="s">
        <v>90</v>
      </c>
    </row>
    <row r="4064" spans="1:10" x14ac:dyDescent="0.2">
      <c r="A4064" s="15" t="s">
        <v>1959</v>
      </c>
      <c r="I4064" s="16">
        <f>I4055</f>
        <v>0</v>
      </c>
    </row>
    <row r="4065" spans="1:10" x14ac:dyDescent="0.2">
      <c r="A4065" s="15"/>
      <c r="I4065" s="15"/>
    </row>
    <row r="4066" spans="1:10" x14ac:dyDescent="0.2">
      <c r="A4066" s="17"/>
      <c r="B4066" s="18"/>
      <c r="C4066" s="18"/>
      <c r="D4066" s="18"/>
      <c r="E4066" s="18"/>
      <c r="F4066" s="18"/>
      <c r="G4066" s="18"/>
      <c r="H4066" s="18"/>
      <c r="I4066" s="17"/>
    </row>
    <row r="4067" spans="1:10" x14ac:dyDescent="0.2">
      <c r="H4067" s="4" t="s">
        <v>95</v>
      </c>
      <c r="I4067" s="13">
        <f>SUM(I4064:I4066)</f>
        <v>0</v>
      </c>
    </row>
    <row r="4071" spans="1:10" ht="15" x14ac:dyDescent="0.25">
      <c r="A4071" s="21" t="s">
        <v>1960</v>
      </c>
      <c r="B4071" s="22"/>
      <c r="C4071" s="22"/>
      <c r="D4071" s="22"/>
      <c r="E4071" s="22"/>
      <c r="F4071" s="22"/>
      <c r="G4071" s="22"/>
      <c r="H4071" s="22"/>
      <c r="I4071" s="22"/>
      <c r="J4071" s="22"/>
    </row>
    <row r="4072" spans="1:10" ht="15" x14ac:dyDescent="0.25">
      <c r="A4072" s="21" t="s">
        <v>1961</v>
      </c>
      <c r="B4072" s="22"/>
      <c r="C4072" s="22"/>
      <c r="D4072" s="22"/>
      <c r="E4072" s="22"/>
      <c r="F4072" s="22"/>
      <c r="G4072" s="22"/>
      <c r="H4072" s="22"/>
      <c r="I4072" s="22"/>
      <c r="J4072" s="22"/>
    </row>
    <row r="4074" spans="1:10" ht="15" x14ac:dyDescent="0.25">
      <c r="A4074" s="3" t="s">
        <v>2</v>
      </c>
      <c r="B4074" s="3" t="s">
        <v>3</v>
      </c>
      <c r="C4074" s="3" t="s">
        <v>4</v>
      </c>
      <c r="D4074" s="3" t="s">
        <v>5</v>
      </c>
      <c r="E4074" s="3" t="s">
        <v>6</v>
      </c>
      <c r="F4074" s="7" t="s">
        <v>7</v>
      </c>
      <c r="G4074" s="3" t="s">
        <v>8</v>
      </c>
      <c r="H4074" s="7" t="s">
        <v>9</v>
      </c>
      <c r="I4074" s="7" t="s">
        <v>10</v>
      </c>
      <c r="J4074" s="3" t="s">
        <v>11</v>
      </c>
    </row>
    <row r="4075" spans="1:10" ht="149.25" x14ac:dyDescent="0.2">
      <c r="A4075" s="2" t="s">
        <v>1962</v>
      </c>
      <c r="B4075" s="9">
        <v>1</v>
      </c>
      <c r="C4075" s="9">
        <v>1</v>
      </c>
      <c r="D4075" s="10" t="s">
        <v>13</v>
      </c>
      <c r="E4075" s="11" t="s">
        <v>1963</v>
      </c>
      <c r="F4075" s="12">
        <v>108</v>
      </c>
      <c r="G4075" s="10" t="s">
        <v>109</v>
      </c>
      <c r="H4075" s="13"/>
      <c r="I4075" s="13"/>
      <c r="J4075" s="10"/>
    </row>
    <row r="4076" spans="1:10" x14ac:dyDescent="0.2">
      <c r="A4076" s="2" t="s">
        <v>1962</v>
      </c>
      <c r="B4076" s="9">
        <v>1</v>
      </c>
      <c r="C4076" s="9">
        <v>1</v>
      </c>
      <c r="D4076" s="10" t="s">
        <v>16</v>
      </c>
      <c r="E4076" s="11" t="s">
        <v>1964</v>
      </c>
      <c r="F4076" s="12">
        <v>569</v>
      </c>
      <c r="G4076" s="10" t="s">
        <v>109</v>
      </c>
      <c r="H4076" s="13"/>
      <c r="I4076" s="13"/>
      <c r="J4076" s="10"/>
    </row>
    <row r="4077" spans="1:10" ht="149.25" x14ac:dyDescent="0.2">
      <c r="A4077" s="2" t="s">
        <v>1962</v>
      </c>
      <c r="B4077" s="9">
        <v>1</v>
      </c>
      <c r="C4077" s="9">
        <v>1</v>
      </c>
      <c r="D4077" s="10" t="s">
        <v>18</v>
      </c>
      <c r="E4077" s="11" t="s">
        <v>1965</v>
      </c>
      <c r="F4077" s="12">
        <v>31</v>
      </c>
      <c r="G4077" s="10" t="s">
        <v>83</v>
      </c>
      <c r="H4077" s="13"/>
      <c r="I4077" s="13"/>
      <c r="J4077" s="10"/>
    </row>
    <row r="4078" spans="1:10" ht="44.25" x14ac:dyDescent="0.2">
      <c r="A4078" s="2" t="s">
        <v>1962</v>
      </c>
      <c r="B4078" s="9">
        <v>1</v>
      </c>
      <c r="C4078" s="9">
        <v>1</v>
      </c>
      <c r="D4078" s="10" t="s">
        <v>20</v>
      </c>
      <c r="E4078" s="11" t="s">
        <v>1966</v>
      </c>
      <c r="F4078" s="12">
        <v>82</v>
      </c>
      <c r="G4078" s="10" t="s">
        <v>79</v>
      </c>
      <c r="H4078" s="13"/>
      <c r="I4078" s="13"/>
      <c r="J4078" s="10"/>
    </row>
    <row r="4079" spans="1:10" x14ac:dyDescent="0.2">
      <c r="A4079" s="2" t="s">
        <v>1962</v>
      </c>
      <c r="B4079" s="9">
        <v>1</v>
      </c>
      <c r="C4079" s="9">
        <v>1</v>
      </c>
      <c r="D4079" s="10" t="s">
        <v>22</v>
      </c>
      <c r="E4079" s="11" t="s">
        <v>1967</v>
      </c>
      <c r="F4079" s="12">
        <v>27</v>
      </c>
      <c r="G4079" s="10" t="s">
        <v>79</v>
      </c>
      <c r="H4079" s="13"/>
      <c r="I4079" s="13"/>
      <c r="J4079" s="10"/>
    </row>
    <row r="4080" spans="1:10" ht="44.25" x14ac:dyDescent="0.2">
      <c r="A4080" s="2" t="s">
        <v>1962</v>
      </c>
      <c r="B4080" s="9">
        <v>1</v>
      </c>
      <c r="C4080" s="9">
        <v>1</v>
      </c>
      <c r="D4080" s="10" t="s">
        <v>24</v>
      </c>
      <c r="E4080" s="11" t="s">
        <v>1968</v>
      </c>
      <c r="F4080" s="12">
        <v>64</v>
      </c>
      <c r="G4080" s="10" t="s">
        <v>83</v>
      </c>
      <c r="H4080" s="13"/>
      <c r="I4080" s="13"/>
      <c r="J4080" s="10"/>
    </row>
    <row r="4081" spans="1:10" ht="44.25" x14ac:dyDescent="0.2">
      <c r="A4081" s="2" t="s">
        <v>1962</v>
      </c>
      <c r="B4081" s="9">
        <v>1</v>
      </c>
      <c r="C4081" s="9">
        <v>1</v>
      </c>
      <c r="D4081" s="10" t="s">
        <v>27</v>
      </c>
      <c r="E4081" s="11" t="s">
        <v>1969</v>
      </c>
      <c r="F4081" s="12">
        <v>472</v>
      </c>
      <c r="G4081" s="10" t="s">
        <v>79</v>
      </c>
      <c r="H4081" s="13"/>
      <c r="I4081" s="13"/>
      <c r="J4081" s="10"/>
    </row>
    <row r="4082" spans="1:10" x14ac:dyDescent="0.2">
      <c r="A4082" s="2" t="s">
        <v>1962</v>
      </c>
      <c r="B4082" s="9">
        <v>1</v>
      </c>
      <c r="C4082" s="9">
        <v>1</v>
      </c>
      <c r="D4082" s="10" t="s">
        <v>29</v>
      </c>
      <c r="E4082" s="11" t="s">
        <v>1967</v>
      </c>
      <c r="F4082" s="12">
        <v>156.99999999999997</v>
      </c>
      <c r="G4082" s="10" t="s">
        <v>79</v>
      </c>
      <c r="H4082" s="13"/>
      <c r="I4082" s="13"/>
      <c r="J4082" s="10" t="s">
        <v>1970</v>
      </c>
    </row>
    <row r="4083" spans="1:10" x14ac:dyDescent="0.2">
      <c r="A4083" s="1" t="s">
        <v>1971</v>
      </c>
      <c r="B4083" s="1"/>
      <c r="C4083" s="1"/>
      <c r="D4083" s="1"/>
      <c r="E4083" s="1"/>
      <c r="F4083" s="1"/>
      <c r="G4083" s="1"/>
      <c r="H4083" s="1" t="s">
        <v>67</v>
      </c>
      <c r="I4083" s="13">
        <f>I4075+I4076+I4077+I4078+I4079+I4080+I4081+I4082</f>
        <v>0</v>
      </c>
      <c r="J4083" s="1"/>
    </row>
    <row r="4091" spans="1:10" ht="15" x14ac:dyDescent="0.25">
      <c r="A4091" s="3" t="s">
        <v>89</v>
      </c>
      <c r="B4091" s="14"/>
      <c r="C4091" s="14"/>
      <c r="D4091" s="14"/>
      <c r="E4091" s="14"/>
      <c r="F4091" s="14"/>
      <c r="G4091" s="14"/>
      <c r="H4091" s="14"/>
      <c r="I4091" s="7" t="s">
        <v>90</v>
      </c>
    </row>
    <row r="4092" spans="1:10" x14ac:dyDescent="0.2">
      <c r="A4092" s="15" t="s">
        <v>1972</v>
      </c>
      <c r="I4092" s="16">
        <f>I4083</f>
        <v>0</v>
      </c>
    </row>
    <row r="4093" spans="1:10" x14ac:dyDescent="0.2">
      <c r="A4093" s="15"/>
      <c r="I4093" s="15"/>
    </row>
    <row r="4094" spans="1:10" x14ac:dyDescent="0.2">
      <c r="A4094" s="17"/>
      <c r="B4094" s="18"/>
      <c r="C4094" s="18"/>
      <c r="D4094" s="18"/>
      <c r="E4094" s="18"/>
      <c r="F4094" s="18"/>
      <c r="G4094" s="18"/>
      <c r="H4094" s="18"/>
      <c r="I4094" s="17"/>
    </row>
    <row r="4095" spans="1:10" x14ac:dyDescent="0.2">
      <c r="H4095" s="4" t="s">
        <v>95</v>
      </c>
      <c r="I4095" s="13">
        <f>SUM(I4092:I4094)</f>
        <v>0</v>
      </c>
    </row>
    <row r="4099" spans="1:10" ht="15" x14ac:dyDescent="0.25">
      <c r="A4099" s="21" t="s">
        <v>1973</v>
      </c>
      <c r="B4099" s="22"/>
      <c r="C4099" s="22"/>
      <c r="D4099" s="22"/>
      <c r="E4099" s="22"/>
      <c r="F4099" s="22"/>
      <c r="G4099" s="22"/>
      <c r="H4099" s="22"/>
      <c r="I4099" s="22"/>
      <c r="J4099" s="22"/>
    </row>
    <row r="4100" spans="1:10" ht="15" x14ac:dyDescent="0.25">
      <c r="A4100" s="21" t="s">
        <v>1974</v>
      </c>
      <c r="B4100" s="22"/>
      <c r="C4100" s="22"/>
      <c r="D4100" s="22"/>
      <c r="E4100" s="22"/>
      <c r="F4100" s="22"/>
      <c r="G4100" s="22"/>
      <c r="H4100" s="22"/>
      <c r="I4100" s="22"/>
      <c r="J4100" s="22"/>
    </row>
    <row r="4102" spans="1:10" ht="15" x14ac:dyDescent="0.25">
      <c r="A4102" s="3" t="s">
        <v>2</v>
      </c>
      <c r="B4102" s="3" t="s">
        <v>3</v>
      </c>
      <c r="C4102" s="3" t="s">
        <v>4</v>
      </c>
      <c r="D4102" s="3" t="s">
        <v>5</v>
      </c>
      <c r="E4102" s="3" t="s">
        <v>6</v>
      </c>
      <c r="F4102" s="7" t="s">
        <v>7</v>
      </c>
      <c r="G4102" s="3" t="s">
        <v>8</v>
      </c>
      <c r="H4102" s="7" t="s">
        <v>9</v>
      </c>
      <c r="I4102" s="7" t="s">
        <v>10</v>
      </c>
      <c r="J4102" s="3" t="s">
        <v>11</v>
      </c>
    </row>
    <row r="4103" spans="1:10" ht="74.25" x14ac:dyDescent="0.2">
      <c r="A4103" s="2" t="s">
        <v>1975</v>
      </c>
      <c r="B4103" s="9">
        <v>1</v>
      </c>
      <c r="C4103" s="9">
        <v>1</v>
      </c>
      <c r="D4103" s="10" t="s">
        <v>13</v>
      </c>
      <c r="E4103" s="11" t="s">
        <v>1976</v>
      </c>
      <c r="F4103" s="12">
        <v>1</v>
      </c>
      <c r="G4103" s="10" t="s">
        <v>100</v>
      </c>
      <c r="H4103" s="13"/>
      <c r="I4103" s="13"/>
      <c r="J4103" s="10"/>
    </row>
    <row r="4104" spans="1:10" ht="44.25" x14ac:dyDescent="0.2">
      <c r="A4104" s="2" t="s">
        <v>1975</v>
      </c>
      <c r="B4104" s="9">
        <v>1</v>
      </c>
      <c r="C4104" s="9">
        <v>1</v>
      </c>
      <c r="D4104" s="10" t="s">
        <v>16</v>
      </c>
      <c r="E4104" s="11" t="s">
        <v>1977</v>
      </c>
      <c r="F4104" s="12">
        <v>1</v>
      </c>
      <c r="G4104" s="10" t="s">
        <v>100</v>
      </c>
      <c r="H4104" s="13"/>
      <c r="I4104" s="13"/>
      <c r="J4104" s="10"/>
    </row>
    <row r="4105" spans="1:10" x14ac:dyDescent="0.2">
      <c r="A4105" s="2" t="s">
        <v>1975</v>
      </c>
      <c r="B4105" s="9">
        <v>1</v>
      </c>
      <c r="C4105" s="9">
        <v>1</v>
      </c>
      <c r="D4105" s="10" t="s">
        <v>18</v>
      </c>
      <c r="E4105" s="11" t="s">
        <v>1978</v>
      </c>
      <c r="F4105" s="12">
        <v>1</v>
      </c>
      <c r="G4105" s="10" t="s">
        <v>100</v>
      </c>
      <c r="H4105" s="13"/>
      <c r="I4105" s="13"/>
      <c r="J4105" s="10"/>
    </row>
    <row r="4106" spans="1:10" x14ac:dyDescent="0.2">
      <c r="A4106" s="2" t="s">
        <v>1975</v>
      </c>
      <c r="B4106" s="9">
        <v>1</v>
      </c>
      <c r="C4106" s="9">
        <v>1</v>
      </c>
      <c r="D4106" s="10" t="s">
        <v>20</v>
      </c>
      <c r="E4106" s="11" t="s">
        <v>1979</v>
      </c>
      <c r="F4106" s="12">
        <v>1</v>
      </c>
      <c r="G4106" s="10" t="s">
        <v>100</v>
      </c>
      <c r="H4106" s="13"/>
      <c r="I4106" s="13"/>
      <c r="J4106" s="10"/>
    </row>
    <row r="4107" spans="1:10" x14ac:dyDescent="0.2">
      <c r="A4107" s="2" t="s">
        <v>1975</v>
      </c>
      <c r="B4107" s="9">
        <v>1</v>
      </c>
      <c r="C4107" s="9">
        <v>1</v>
      </c>
      <c r="D4107" s="10" t="s">
        <v>22</v>
      </c>
      <c r="E4107" s="11" t="s">
        <v>1980</v>
      </c>
      <c r="F4107" s="12">
        <v>1</v>
      </c>
      <c r="G4107" s="10" t="s">
        <v>100</v>
      </c>
      <c r="H4107" s="13"/>
      <c r="I4107" s="13"/>
      <c r="J4107" s="10"/>
    </row>
    <row r="4108" spans="1:10" ht="44.25" x14ac:dyDescent="0.2">
      <c r="A4108" s="2" t="s">
        <v>1975</v>
      </c>
      <c r="B4108" s="9">
        <v>1</v>
      </c>
      <c r="C4108" s="9">
        <v>1</v>
      </c>
      <c r="D4108" s="10" t="s">
        <v>24</v>
      </c>
      <c r="E4108" s="11" t="s">
        <v>1981</v>
      </c>
      <c r="F4108" s="12">
        <v>1</v>
      </c>
      <c r="G4108" s="10" t="s">
        <v>100</v>
      </c>
      <c r="H4108" s="13"/>
      <c r="I4108" s="13"/>
      <c r="J4108" s="10"/>
    </row>
    <row r="4109" spans="1:10" x14ac:dyDescent="0.2">
      <c r="A4109" s="2" t="s">
        <v>1975</v>
      </c>
      <c r="B4109" s="9">
        <v>1</v>
      </c>
      <c r="C4109" s="9">
        <v>1</v>
      </c>
      <c r="D4109" s="10" t="s">
        <v>27</v>
      </c>
      <c r="E4109" s="11" t="s">
        <v>1982</v>
      </c>
      <c r="F4109" s="12">
        <v>1</v>
      </c>
      <c r="G4109" s="10" t="s">
        <v>100</v>
      </c>
      <c r="H4109" s="13"/>
      <c r="I4109" s="6"/>
      <c r="J4109" s="10"/>
    </row>
    <row r="4110" spans="1:10" ht="44.25" x14ac:dyDescent="0.2">
      <c r="A4110" s="2" t="s">
        <v>1975</v>
      </c>
      <c r="B4110" s="9">
        <v>1</v>
      </c>
      <c r="C4110" s="9">
        <v>1</v>
      </c>
      <c r="D4110" s="10" t="s">
        <v>29</v>
      </c>
      <c r="E4110" s="11" t="s">
        <v>1983</v>
      </c>
      <c r="F4110" s="12">
        <v>1</v>
      </c>
      <c r="G4110" s="10" t="s">
        <v>100</v>
      </c>
      <c r="H4110" s="13"/>
      <c r="I4110" s="13"/>
      <c r="J4110" s="10"/>
    </row>
    <row r="4111" spans="1:10" ht="44.25" x14ac:dyDescent="0.2">
      <c r="A4111" s="2" t="s">
        <v>1975</v>
      </c>
      <c r="B4111" s="9">
        <v>1</v>
      </c>
      <c r="C4111" s="9">
        <v>1</v>
      </c>
      <c r="D4111" s="10" t="s">
        <v>32</v>
      </c>
      <c r="E4111" s="11" t="s">
        <v>1984</v>
      </c>
      <c r="F4111" s="12">
        <v>1</v>
      </c>
      <c r="G4111" s="10" t="s">
        <v>100</v>
      </c>
      <c r="H4111" s="13"/>
      <c r="I4111" s="13"/>
      <c r="J4111" s="10"/>
    </row>
    <row r="4112" spans="1:10" x14ac:dyDescent="0.2">
      <c r="A4112" s="2" t="s">
        <v>1975</v>
      </c>
      <c r="B4112" s="9">
        <v>1</v>
      </c>
      <c r="C4112" s="9">
        <v>1</v>
      </c>
      <c r="D4112" s="10" t="s">
        <v>33</v>
      </c>
      <c r="E4112" s="11" t="s">
        <v>1985</v>
      </c>
      <c r="F4112" s="12">
        <v>1</v>
      </c>
      <c r="G4112" s="10" t="s">
        <v>100</v>
      </c>
      <c r="H4112" s="13"/>
      <c r="I4112" s="13"/>
      <c r="J4112" s="10"/>
    </row>
    <row r="4113" spans="1:10" x14ac:dyDescent="0.2">
      <c r="A4113" s="2" t="s">
        <v>1975</v>
      </c>
      <c r="B4113" s="9">
        <v>1</v>
      </c>
      <c r="C4113" s="9">
        <v>1</v>
      </c>
      <c r="D4113" s="10" t="s">
        <v>34</v>
      </c>
      <c r="E4113" s="11" t="s">
        <v>1986</v>
      </c>
      <c r="F4113" s="12">
        <v>1</v>
      </c>
      <c r="G4113" s="10" t="s">
        <v>100</v>
      </c>
      <c r="H4113" s="13"/>
      <c r="I4113" s="13"/>
      <c r="J4113" s="10"/>
    </row>
    <row r="4114" spans="1:10" ht="44.25" x14ac:dyDescent="0.2">
      <c r="A4114" s="2" t="s">
        <v>1975</v>
      </c>
      <c r="B4114" s="9">
        <v>1</v>
      </c>
      <c r="C4114" s="9">
        <v>1</v>
      </c>
      <c r="D4114" s="10" t="s">
        <v>35</v>
      </c>
      <c r="E4114" s="11" t="s">
        <v>1987</v>
      </c>
      <c r="F4114" s="12">
        <v>1</v>
      </c>
      <c r="G4114" s="10" t="s">
        <v>100</v>
      </c>
      <c r="H4114" s="13"/>
      <c r="I4114" s="6"/>
      <c r="J4114" s="10"/>
    </row>
    <row r="4115" spans="1:10" x14ac:dyDescent="0.2">
      <c r="A4115" s="2" t="s">
        <v>1975</v>
      </c>
      <c r="B4115" s="9">
        <v>1</v>
      </c>
      <c r="C4115" s="9">
        <v>1</v>
      </c>
      <c r="D4115" s="10" t="s">
        <v>36</v>
      </c>
      <c r="E4115" s="11" t="s">
        <v>1988</v>
      </c>
      <c r="F4115" s="12">
        <v>1</v>
      </c>
      <c r="G4115" s="10" t="s">
        <v>100</v>
      </c>
      <c r="H4115" s="13"/>
      <c r="I4115" s="13"/>
      <c r="J4115" s="10"/>
    </row>
    <row r="4116" spans="1:10" x14ac:dyDescent="0.2">
      <c r="A4116" s="2" t="s">
        <v>1975</v>
      </c>
      <c r="B4116" s="9">
        <v>1</v>
      </c>
      <c r="C4116" s="9">
        <v>1</v>
      </c>
      <c r="D4116" s="10" t="s">
        <v>40</v>
      </c>
      <c r="E4116" s="11" t="s">
        <v>1988</v>
      </c>
      <c r="F4116" s="12">
        <v>1</v>
      </c>
      <c r="G4116" s="10" t="s">
        <v>100</v>
      </c>
      <c r="H4116" s="13"/>
      <c r="I4116" s="13"/>
      <c r="J4116" s="10"/>
    </row>
    <row r="4117" spans="1:10" x14ac:dyDescent="0.2">
      <c r="A4117" s="2" t="s">
        <v>1975</v>
      </c>
      <c r="B4117" s="9">
        <v>1</v>
      </c>
      <c r="C4117" s="9">
        <v>1</v>
      </c>
      <c r="D4117" s="10" t="s">
        <v>42</v>
      </c>
      <c r="E4117" s="11" t="s">
        <v>1989</v>
      </c>
      <c r="F4117" s="12">
        <v>1</v>
      </c>
      <c r="G4117" s="10" t="s">
        <v>100</v>
      </c>
      <c r="H4117" s="13"/>
      <c r="I4117" s="13"/>
      <c r="J4117" s="10"/>
    </row>
    <row r="4118" spans="1:10" x14ac:dyDescent="0.2">
      <c r="A4118" s="2" t="s">
        <v>1975</v>
      </c>
      <c r="B4118" s="9">
        <v>1</v>
      </c>
      <c r="C4118" s="9">
        <v>1</v>
      </c>
      <c r="D4118" s="10" t="s">
        <v>44</v>
      </c>
      <c r="E4118" s="11" t="s">
        <v>1990</v>
      </c>
      <c r="F4118" s="12">
        <v>1</v>
      </c>
      <c r="G4118" s="10" t="s">
        <v>100</v>
      </c>
      <c r="H4118" s="13"/>
      <c r="I4118" s="13"/>
      <c r="J4118" s="10"/>
    </row>
    <row r="4119" spans="1:10" x14ac:dyDescent="0.2">
      <c r="A4119" s="2" t="s">
        <v>1975</v>
      </c>
      <c r="B4119" s="9">
        <v>1</v>
      </c>
      <c r="C4119" s="9">
        <v>1</v>
      </c>
      <c r="D4119" s="10" t="s">
        <v>46</v>
      </c>
      <c r="E4119" s="11" t="s">
        <v>1991</v>
      </c>
      <c r="F4119" s="12">
        <v>1</v>
      </c>
      <c r="G4119" s="10" t="s">
        <v>100</v>
      </c>
      <c r="H4119" s="13"/>
      <c r="I4119" s="13"/>
      <c r="J4119" s="10"/>
    </row>
    <row r="4120" spans="1:10" ht="44.25" x14ac:dyDescent="0.2">
      <c r="A4120" s="2" t="s">
        <v>1975</v>
      </c>
      <c r="B4120" s="9">
        <v>1</v>
      </c>
      <c r="C4120" s="9">
        <v>1</v>
      </c>
      <c r="D4120" s="10" t="s">
        <v>47</v>
      </c>
      <c r="E4120" s="11" t="s">
        <v>1992</v>
      </c>
      <c r="F4120" s="12">
        <v>1</v>
      </c>
      <c r="G4120" s="10" t="s">
        <v>100</v>
      </c>
      <c r="H4120" s="13"/>
      <c r="I4120" s="13"/>
      <c r="J4120" s="10"/>
    </row>
    <row r="4121" spans="1:10" ht="44.25" x14ac:dyDescent="0.2">
      <c r="A4121" s="2" t="s">
        <v>1975</v>
      </c>
      <c r="B4121" s="9">
        <v>1</v>
      </c>
      <c r="C4121" s="9">
        <v>1</v>
      </c>
      <c r="D4121" s="10" t="s">
        <v>48</v>
      </c>
      <c r="E4121" s="11" t="s">
        <v>1993</v>
      </c>
      <c r="F4121" s="12">
        <v>1</v>
      </c>
      <c r="G4121" s="10" t="s">
        <v>100</v>
      </c>
      <c r="H4121" s="13"/>
      <c r="I4121" s="13"/>
      <c r="J4121" s="10"/>
    </row>
    <row r="4122" spans="1:10" x14ac:dyDescent="0.2">
      <c r="A4122" s="2" t="s">
        <v>1975</v>
      </c>
      <c r="B4122" s="9">
        <v>1</v>
      </c>
      <c r="C4122" s="9">
        <v>1</v>
      </c>
      <c r="D4122" s="10" t="s">
        <v>54</v>
      </c>
      <c r="E4122" s="11" t="s">
        <v>1994</v>
      </c>
      <c r="F4122" s="12">
        <v>1</v>
      </c>
      <c r="G4122" s="10" t="s">
        <v>100</v>
      </c>
      <c r="H4122" s="13"/>
      <c r="I4122" s="13"/>
      <c r="J4122" s="10"/>
    </row>
    <row r="4123" spans="1:10" ht="44.25" x14ac:dyDescent="0.2">
      <c r="A4123" s="2" t="s">
        <v>1975</v>
      </c>
      <c r="B4123" s="9">
        <v>1</v>
      </c>
      <c r="C4123" s="9">
        <v>1</v>
      </c>
      <c r="D4123" s="10" t="s">
        <v>56</v>
      </c>
      <c r="E4123" s="11" t="s">
        <v>1995</v>
      </c>
      <c r="F4123" s="12">
        <v>1</v>
      </c>
      <c r="G4123" s="10" t="s">
        <v>100</v>
      </c>
      <c r="H4123" s="13"/>
      <c r="I4123" s="13"/>
      <c r="J4123" s="10"/>
    </row>
    <row r="4124" spans="1:10" ht="44.25" x14ac:dyDescent="0.2">
      <c r="A4124" s="2" t="s">
        <v>1975</v>
      </c>
      <c r="B4124" s="9">
        <v>1</v>
      </c>
      <c r="C4124" s="9">
        <v>1</v>
      </c>
      <c r="D4124" s="10" t="s">
        <v>57</v>
      </c>
      <c r="E4124" s="11" t="s">
        <v>1996</v>
      </c>
      <c r="F4124" s="12">
        <v>1</v>
      </c>
      <c r="G4124" s="10" t="s">
        <v>100</v>
      </c>
      <c r="H4124" s="13"/>
      <c r="I4124" s="13"/>
      <c r="J4124" s="10"/>
    </row>
    <row r="4125" spans="1:10" ht="44.25" x14ac:dyDescent="0.2">
      <c r="A4125" s="2" t="s">
        <v>1975</v>
      </c>
      <c r="B4125" s="9">
        <v>1</v>
      </c>
      <c r="C4125" s="9">
        <v>1</v>
      </c>
      <c r="D4125" s="10" t="s">
        <v>59</v>
      </c>
      <c r="E4125" s="11" t="s">
        <v>1997</v>
      </c>
      <c r="F4125" s="12">
        <v>1</v>
      </c>
      <c r="G4125" s="10" t="s">
        <v>100</v>
      </c>
      <c r="H4125" s="13"/>
      <c r="I4125" s="13"/>
      <c r="J4125" s="10"/>
    </row>
    <row r="4126" spans="1:10" x14ac:dyDescent="0.2">
      <c r="A4126" s="2" t="s">
        <v>1975</v>
      </c>
      <c r="B4126" s="9">
        <v>1</v>
      </c>
      <c r="C4126" s="9">
        <v>1</v>
      </c>
      <c r="D4126" s="10" t="s">
        <v>60</v>
      </c>
      <c r="E4126" s="11" t="s">
        <v>1998</v>
      </c>
      <c r="F4126" s="12">
        <v>1</v>
      </c>
      <c r="G4126" s="10" t="s">
        <v>100</v>
      </c>
      <c r="H4126" s="13"/>
      <c r="I4126" s="13"/>
      <c r="J4126" s="10"/>
    </row>
    <row r="4127" spans="1:10" x14ac:dyDescent="0.2">
      <c r="A4127" s="2" t="s">
        <v>1975</v>
      </c>
      <c r="B4127" s="9">
        <v>1</v>
      </c>
      <c r="C4127" s="9">
        <v>1</v>
      </c>
      <c r="D4127" s="10" t="s">
        <v>62</v>
      </c>
      <c r="E4127" s="11" t="s">
        <v>1999</v>
      </c>
      <c r="F4127" s="12">
        <v>1</v>
      </c>
      <c r="G4127" s="10" t="s">
        <v>100</v>
      </c>
      <c r="H4127" s="13"/>
      <c r="I4127" s="13"/>
      <c r="J4127" s="10"/>
    </row>
    <row r="4128" spans="1:10" x14ac:dyDescent="0.2">
      <c r="A4128" s="2" t="s">
        <v>1975</v>
      </c>
      <c r="B4128" s="9">
        <v>1</v>
      </c>
      <c r="C4128" s="9">
        <v>1</v>
      </c>
      <c r="D4128" s="10" t="s">
        <v>64</v>
      </c>
      <c r="E4128" s="11" t="s">
        <v>2000</v>
      </c>
      <c r="F4128" s="12">
        <v>1</v>
      </c>
      <c r="G4128" s="10" t="s">
        <v>100</v>
      </c>
      <c r="H4128" s="13"/>
      <c r="I4128" s="13"/>
      <c r="J4128" s="10"/>
    </row>
    <row r="4129" spans="1:10" x14ac:dyDescent="0.2">
      <c r="A4129" s="2" t="s">
        <v>1975</v>
      </c>
      <c r="B4129" s="9">
        <v>1</v>
      </c>
      <c r="C4129" s="9">
        <v>1</v>
      </c>
      <c r="D4129" s="10" t="s">
        <v>2001</v>
      </c>
      <c r="E4129" s="11" t="s">
        <v>2002</v>
      </c>
      <c r="F4129" s="12">
        <v>1</v>
      </c>
      <c r="G4129" s="10" t="s">
        <v>100</v>
      </c>
      <c r="H4129" s="13"/>
      <c r="I4129" s="13"/>
      <c r="J4129" s="10"/>
    </row>
    <row r="4130" spans="1:10" x14ac:dyDescent="0.2">
      <c r="A4130" s="2" t="s">
        <v>1975</v>
      </c>
      <c r="B4130" s="9">
        <v>1</v>
      </c>
      <c r="C4130" s="9">
        <v>1</v>
      </c>
      <c r="D4130" s="10" t="s">
        <v>2003</v>
      </c>
      <c r="E4130" s="11" t="s">
        <v>2004</v>
      </c>
      <c r="F4130" s="12">
        <v>1</v>
      </c>
      <c r="G4130" s="10" t="s">
        <v>100</v>
      </c>
      <c r="H4130" s="13"/>
      <c r="I4130" s="13"/>
      <c r="J4130" s="10"/>
    </row>
    <row r="4131" spans="1:10" x14ac:dyDescent="0.2">
      <c r="A4131" s="2" t="s">
        <v>1975</v>
      </c>
      <c r="B4131" s="9">
        <v>1</v>
      </c>
      <c r="C4131" s="9">
        <v>1</v>
      </c>
      <c r="D4131" s="10" t="s">
        <v>2005</v>
      </c>
      <c r="E4131" s="11" t="s">
        <v>2006</v>
      </c>
      <c r="F4131" s="12">
        <v>1</v>
      </c>
      <c r="G4131" s="10" t="s">
        <v>100</v>
      </c>
      <c r="H4131" s="13"/>
      <c r="I4131" s="13"/>
      <c r="J4131" s="10"/>
    </row>
    <row r="4132" spans="1:10" x14ac:dyDescent="0.2">
      <c r="A4132" s="2" t="s">
        <v>1975</v>
      </c>
      <c r="B4132" s="9">
        <v>1</v>
      </c>
      <c r="C4132" s="9">
        <v>1</v>
      </c>
      <c r="D4132" s="10" t="s">
        <v>2007</v>
      </c>
      <c r="E4132" s="11" t="s">
        <v>2008</v>
      </c>
      <c r="F4132" s="12">
        <v>1</v>
      </c>
      <c r="G4132" s="10" t="s">
        <v>100</v>
      </c>
      <c r="H4132" s="13"/>
      <c r="I4132" s="6"/>
      <c r="J4132" s="10"/>
    </row>
    <row r="4133" spans="1:10" x14ac:dyDescent="0.2">
      <c r="A4133" s="2" t="s">
        <v>1975</v>
      </c>
      <c r="B4133" s="9">
        <v>1</v>
      </c>
      <c r="C4133" s="9">
        <v>1</v>
      </c>
      <c r="D4133" s="10" t="s">
        <v>2009</v>
      </c>
      <c r="E4133" s="11" t="s">
        <v>2010</v>
      </c>
      <c r="F4133" s="12">
        <v>1</v>
      </c>
      <c r="G4133" s="10" t="s">
        <v>100</v>
      </c>
      <c r="H4133" s="13"/>
      <c r="I4133" s="13"/>
      <c r="J4133" s="10"/>
    </row>
    <row r="4134" spans="1:10" x14ac:dyDescent="0.2">
      <c r="A4134" s="2" t="s">
        <v>1975</v>
      </c>
      <c r="B4134" s="9">
        <v>1</v>
      </c>
      <c r="C4134" s="9">
        <v>1</v>
      </c>
      <c r="D4134" s="10" t="s">
        <v>2011</v>
      </c>
      <c r="E4134" s="11" t="s">
        <v>2012</v>
      </c>
      <c r="F4134" s="12">
        <v>1</v>
      </c>
      <c r="G4134" s="10" t="s">
        <v>100</v>
      </c>
      <c r="H4134" s="13"/>
      <c r="I4134" s="13"/>
      <c r="J4134" s="10"/>
    </row>
    <row r="4135" spans="1:10" x14ac:dyDescent="0.2">
      <c r="A4135" s="2" t="s">
        <v>1975</v>
      </c>
      <c r="B4135" s="9">
        <v>1</v>
      </c>
      <c r="C4135" s="9">
        <v>1</v>
      </c>
      <c r="D4135" s="10" t="s">
        <v>2013</v>
      </c>
      <c r="E4135" s="11" t="s">
        <v>2014</v>
      </c>
      <c r="F4135" s="12">
        <v>1</v>
      </c>
      <c r="G4135" s="10" t="s">
        <v>100</v>
      </c>
      <c r="H4135" s="13"/>
      <c r="I4135" s="13"/>
      <c r="J4135" s="10"/>
    </row>
    <row r="4136" spans="1:10" x14ac:dyDescent="0.2">
      <c r="A4136" s="2" t="s">
        <v>1975</v>
      </c>
      <c r="B4136" s="9">
        <v>1</v>
      </c>
      <c r="C4136" s="9">
        <v>1</v>
      </c>
      <c r="D4136" s="10" t="s">
        <v>2015</v>
      </c>
      <c r="E4136" s="11" t="s">
        <v>2016</v>
      </c>
      <c r="F4136" s="12">
        <v>1</v>
      </c>
      <c r="G4136" s="10" t="s">
        <v>100</v>
      </c>
      <c r="H4136" s="13"/>
      <c r="I4136" s="13"/>
      <c r="J4136" s="10"/>
    </row>
    <row r="4137" spans="1:10" x14ac:dyDescent="0.2">
      <c r="A4137" s="2" t="s">
        <v>1975</v>
      </c>
      <c r="B4137" s="9">
        <v>1</v>
      </c>
      <c r="C4137" s="9">
        <v>1</v>
      </c>
      <c r="D4137" s="10" t="s">
        <v>2017</v>
      </c>
      <c r="E4137" s="11" t="s">
        <v>2018</v>
      </c>
      <c r="F4137" s="12">
        <v>1</v>
      </c>
      <c r="G4137" s="10" t="s">
        <v>100</v>
      </c>
      <c r="H4137" s="13"/>
      <c r="I4137" s="13"/>
      <c r="J4137" s="10"/>
    </row>
    <row r="4138" spans="1:10" ht="44.25" x14ac:dyDescent="0.2">
      <c r="A4138" s="2" t="s">
        <v>1975</v>
      </c>
      <c r="B4138" s="9">
        <v>1</v>
      </c>
      <c r="C4138" s="9">
        <v>1</v>
      </c>
      <c r="D4138" s="10" t="s">
        <v>2019</v>
      </c>
      <c r="E4138" s="11" t="s">
        <v>2020</v>
      </c>
      <c r="F4138" s="12">
        <v>1</v>
      </c>
      <c r="G4138" s="10" t="s">
        <v>100</v>
      </c>
      <c r="H4138" s="13"/>
      <c r="I4138" s="13"/>
      <c r="J4138" s="10"/>
    </row>
    <row r="4139" spans="1:10" ht="58.5" x14ac:dyDescent="0.2">
      <c r="A4139" s="2" t="s">
        <v>1975</v>
      </c>
      <c r="B4139" s="9">
        <v>1</v>
      </c>
      <c r="C4139" s="9">
        <v>1</v>
      </c>
      <c r="D4139" s="10" t="s">
        <v>2021</v>
      </c>
      <c r="E4139" s="11" t="s">
        <v>2022</v>
      </c>
      <c r="F4139" s="12">
        <v>1</v>
      </c>
      <c r="G4139" s="10" t="s">
        <v>100</v>
      </c>
      <c r="H4139" s="13"/>
      <c r="I4139" s="13"/>
      <c r="J4139" s="10"/>
    </row>
    <row r="4140" spans="1:10" ht="44.25" x14ac:dyDescent="0.2">
      <c r="A4140" s="2" t="s">
        <v>1975</v>
      </c>
      <c r="B4140" s="9">
        <v>1</v>
      </c>
      <c r="C4140" s="9">
        <v>1</v>
      </c>
      <c r="D4140" s="10" t="s">
        <v>2023</v>
      </c>
      <c r="E4140" s="11" t="s">
        <v>2024</v>
      </c>
      <c r="F4140" s="12">
        <v>1</v>
      </c>
      <c r="G4140" s="10" t="s">
        <v>100</v>
      </c>
      <c r="H4140" s="13"/>
      <c r="I4140" s="13"/>
      <c r="J4140" s="10"/>
    </row>
    <row r="4141" spans="1:10" ht="44.25" x14ac:dyDescent="0.2">
      <c r="A4141" s="2" t="s">
        <v>1975</v>
      </c>
      <c r="B4141" s="9">
        <v>1</v>
      </c>
      <c r="C4141" s="9">
        <v>1</v>
      </c>
      <c r="D4141" s="10" t="s">
        <v>2025</v>
      </c>
      <c r="E4141" s="11" t="s">
        <v>2026</v>
      </c>
      <c r="F4141" s="12">
        <v>1</v>
      </c>
      <c r="G4141" s="10" t="s">
        <v>100</v>
      </c>
      <c r="H4141" s="13"/>
      <c r="I4141" s="13"/>
      <c r="J4141" s="10"/>
    </row>
    <row r="4142" spans="1:10" x14ac:dyDescent="0.2">
      <c r="A4142" s="2" t="s">
        <v>1975</v>
      </c>
      <c r="B4142" s="9">
        <v>1</v>
      </c>
      <c r="C4142" s="9">
        <v>1</v>
      </c>
      <c r="D4142" s="10" t="s">
        <v>2027</v>
      </c>
      <c r="E4142" s="11" t="s">
        <v>2028</v>
      </c>
      <c r="F4142" s="12">
        <v>1</v>
      </c>
      <c r="G4142" s="10" t="s">
        <v>100</v>
      </c>
      <c r="H4142" s="13"/>
      <c r="I4142" s="13"/>
      <c r="J4142" s="10"/>
    </row>
    <row r="4143" spans="1:10" x14ac:dyDescent="0.2">
      <c r="A4143" s="2" t="s">
        <v>1975</v>
      </c>
      <c r="B4143" s="9">
        <v>1</v>
      </c>
      <c r="C4143" s="9">
        <v>1</v>
      </c>
      <c r="D4143" s="10" t="s">
        <v>2029</v>
      </c>
      <c r="E4143" s="11" t="s">
        <v>2030</v>
      </c>
      <c r="F4143" s="12">
        <v>1</v>
      </c>
      <c r="G4143" s="10" t="s">
        <v>100</v>
      </c>
      <c r="H4143" s="13"/>
      <c r="I4143" s="13"/>
      <c r="J4143" s="10"/>
    </row>
    <row r="4144" spans="1:10" x14ac:dyDescent="0.2">
      <c r="A4144" s="2" t="s">
        <v>1975</v>
      </c>
      <c r="B4144" s="9">
        <v>1</v>
      </c>
      <c r="C4144" s="9">
        <v>1</v>
      </c>
      <c r="D4144" s="10" t="s">
        <v>2031</v>
      </c>
      <c r="E4144" s="11" t="s">
        <v>2032</v>
      </c>
      <c r="F4144" s="12">
        <v>1</v>
      </c>
      <c r="G4144" s="10" t="s">
        <v>100</v>
      </c>
      <c r="H4144" s="13"/>
      <c r="I4144" s="13"/>
      <c r="J4144" s="10"/>
    </row>
    <row r="4145" spans="1:10" x14ac:dyDescent="0.2">
      <c r="A4145" s="2" t="s">
        <v>1975</v>
      </c>
      <c r="B4145" s="9">
        <v>1</v>
      </c>
      <c r="C4145" s="9">
        <v>1</v>
      </c>
      <c r="D4145" s="10" t="s">
        <v>2033</v>
      </c>
      <c r="E4145" s="11" t="s">
        <v>2034</v>
      </c>
      <c r="F4145" s="12">
        <v>1</v>
      </c>
      <c r="G4145" s="10" t="s">
        <v>100</v>
      </c>
      <c r="H4145" s="13"/>
      <c r="I4145" s="13"/>
      <c r="J4145" s="10"/>
    </row>
    <row r="4146" spans="1:10" ht="44.25" x14ac:dyDescent="0.2">
      <c r="A4146" s="2" t="s">
        <v>1975</v>
      </c>
      <c r="B4146" s="9">
        <v>1</v>
      </c>
      <c r="C4146" s="9">
        <v>1</v>
      </c>
      <c r="D4146" s="10" t="s">
        <v>2035</v>
      </c>
      <c r="E4146" s="11" t="s">
        <v>2036</v>
      </c>
      <c r="F4146" s="12">
        <v>1</v>
      </c>
      <c r="G4146" s="10" t="s">
        <v>100</v>
      </c>
      <c r="H4146" s="13"/>
      <c r="I4146" s="13"/>
      <c r="J4146" s="10"/>
    </row>
    <row r="4147" spans="1:10" x14ac:dyDescent="0.2">
      <c r="A4147" s="2" t="s">
        <v>1975</v>
      </c>
      <c r="B4147" s="9">
        <v>1</v>
      </c>
      <c r="C4147" s="9">
        <v>1</v>
      </c>
      <c r="D4147" s="10" t="s">
        <v>2037</v>
      </c>
      <c r="E4147" s="11" t="s">
        <v>2038</v>
      </c>
      <c r="F4147" s="12">
        <v>1</v>
      </c>
      <c r="G4147" s="10" t="s">
        <v>100</v>
      </c>
      <c r="H4147" s="13"/>
      <c r="I4147" s="13"/>
      <c r="J4147" s="10"/>
    </row>
    <row r="4148" spans="1:10" x14ac:dyDescent="0.2">
      <c r="A4148" s="1" t="s">
        <v>2039</v>
      </c>
      <c r="B4148" s="1"/>
      <c r="C4148" s="1"/>
      <c r="D4148" s="1"/>
      <c r="E4148" s="1"/>
      <c r="F4148" s="1"/>
      <c r="G4148" s="1"/>
      <c r="H4148" s="1" t="s">
        <v>67</v>
      </c>
      <c r="I4148" s="13">
        <f>I4103+I4104+I4105+I4106+I4107+I4108+I4110+I4111+I4112+I4113+I4115+I4116+I4117+I4118+I4119+I4120+I4121+I4122+I4123+I4124+I4125+I4126+I4127+I4128+I4129+I4130+I4131+I4133+I4134+I4135+I4136+I4137+I4138+I4139+I4140+I4141+I4142+I4143+I4144+I4145+I4146+I4147</f>
        <v>0</v>
      </c>
      <c r="J4148" s="1"/>
    </row>
    <row r="4156" spans="1:10" ht="15" x14ac:dyDescent="0.25">
      <c r="A4156" s="3" t="s">
        <v>89</v>
      </c>
      <c r="B4156" s="14"/>
      <c r="C4156" s="14"/>
      <c r="D4156" s="14"/>
      <c r="E4156" s="14"/>
      <c r="F4156" s="14"/>
      <c r="G4156" s="14"/>
      <c r="H4156" s="14"/>
      <c r="I4156" s="7" t="s">
        <v>90</v>
      </c>
    </row>
    <row r="4157" spans="1:10" x14ac:dyDescent="0.2">
      <c r="A4157" s="15" t="s">
        <v>2040</v>
      </c>
      <c r="I4157" s="16">
        <f>I4148</f>
        <v>0</v>
      </c>
    </row>
    <row r="4158" spans="1:10" x14ac:dyDescent="0.2">
      <c r="A4158" s="15"/>
      <c r="I4158" s="15"/>
    </row>
    <row r="4159" spans="1:10" x14ac:dyDescent="0.2">
      <c r="A4159" s="17"/>
      <c r="B4159" s="18"/>
      <c r="C4159" s="18"/>
      <c r="D4159" s="18"/>
      <c r="E4159" s="18"/>
      <c r="F4159" s="18"/>
      <c r="G4159" s="18"/>
      <c r="H4159" s="18"/>
      <c r="I4159" s="17"/>
    </row>
    <row r="4160" spans="1:10" x14ac:dyDescent="0.2">
      <c r="H4160" s="4" t="s">
        <v>95</v>
      </c>
      <c r="I4160" s="13">
        <f>SUM(I4157:I4159)</f>
        <v>0</v>
      </c>
    </row>
  </sheetData>
  <mergeCells count="388">
    <mergeCell ref="A1:J1"/>
    <mergeCell ref="A2:J2"/>
    <mergeCell ref="A39:J39"/>
    <mergeCell ref="A40:J40"/>
    <mergeCell ref="A50:J50"/>
    <mergeCell ref="A111:J111"/>
    <mergeCell ref="A112:J112"/>
    <mergeCell ref="A141:J141"/>
    <mergeCell ref="A142:J142"/>
    <mergeCell ref="A168:J168"/>
    <mergeCell ref="A51:J51"/>
    <mergeCell ref="A61:J61"/>
    <mergeCell ref="A62:J62"/>
    <mergeCell ref="A89:J89"/>
    <mergeCell ref="A90:J90"/>
    <mergeCell ref="A226:J226"/>
    <mergeCell ref="A227:J227"/>
    <mergeCell ref="A261:J261"/>
    <mergeCell ref="A262:J262"/>
    <mergeCell ref="A297:J297"/>
    <mergeCell ref="A169:J169"/>
    <mergeCell ref="A188:J188"/>
    <mergeCell ref="A189:J189"/>
    <mergeCell ref="A207:J207"/>
    <mergeCell ref="A208:J208"/>
    <mergeCell ref="A388:J388"/>
    <mergeCell ref="A389:J389"/>
    <mergeCell ref="A422:J422"/>
    <mergeCell ref="A423:J423"/>
    <mergeCell ref="A456:J456"/>
    <mergeCell ref="A298:J298"/>
    <mergeCell ref="A330:J330"/>
    <mergeCell ref="A331:J331"/>
    <mergeCell ref="A357:J357"/>
    <mergeCell ref="A358:J358"/>
    <mergeCell ref="A534:J534"/>
    <mergeCell ref="A535:J535"/>
    <mergeCell ref="A550:J550"/>
    <mergeCell ref="A551:J551"/>
    <mergeCell ref="A571:J571"/>
    <mergeCell ref="A457:J457"/>
    <mergeCell ref="A486:J486"/>
    <mergeCell ref="A487:J487"/>
    <mergeCell ref="A509:J509"/>
    <mergeCell ref="A510:J510"/>
    <mergeCell ref="A661:J661"/>
    <mergeCell ref="A662:J662"/>
    <mergeCell ref="A684:J684"/>
    <mergeCell ref="A685:J685"/>
    <mergeCell ref="A709:J709"/>
    <mergeCell ref="A572:J572"/>
    <mergeCell ref="A609:J609"/>
    <mergeCell ref="A610:J610"/>
    <mergeCell ref="A626:J626"/>
    <mergeCell ref="A627:J627"/>
    <mergeCell ref="A767:J767"/>
    <mergeCell ref="A768:J768"/>
    <mergeCell ref="A786:J786"/>
    <mergeCell ref="A787:J787"/>
    <mergeCell ref="A807:J807"/>
    <mergeCell ref="A710:J710"/>
    <mergeCell ref="A730:J730"/>
    <mergeCell ref="A731:J731"/>
    <mergeCell ref="A748:J748"/>
    <mergeCell ref="A749:J749"/>
    <mergeCell ref="A884:J884"/>
    <mergeCell ref="A885:J885"/>
    <mergeCell ref="A900:J900"/>
    <mergeCell ref="A901:J901"/>
    <mergeCell ref="A942:J942"/>
    <mergeCell ref="A808:J808"/>
    <mergeCell ref="A844:J844"/>
    <mergeCell ref="A845:J845"/>
    <mergeCell ref="A864:J864"/>
    <mergeCell ref="A865:J865"/>
    <mergeCell ref="A994:J994"/>
    <mergeCell ref="A995:J995"/>
    <mergeCell ref="A1014:J1014"/>
    <mergeCell ref="A1015:J1015"/>
    <mergeCell ref="A1036:J1036"/>
    <mergeCell ref="A943:J943"/>
    <mergeCell ref="A957:J957"/>
    <mergeCell ref="A958:J958"/>
    <mergeCell ref="A974:J974"/>
    <mergeCell ref="A975:J975"/>
    <mergeCell ref="A1109:J1109"/>
    <mergeCell ref="A1110:J1110"/>
    <mergeCell ref="A1123:J1123"/>
    <mergeCell ref="A1124:J1124"/>
    <mergeCell ref="A1168:J1168"/>
    <mergeCell ref="A1037:J1037"/>
    <mergeCell ref="A1060:J1060"/>
    <mergeCell ref="A1061:J1061"/>
    <mergeCell ref="A1075:J1075"/>
    <mergeCell ref="A1076:J1076"/>
    <mergeCell ref="A1246:J1246"/>
    <mergeCell ref="A1247:J1247"/>
    <mergeCell ref="A1275:J1275"/>
    <mergeCell ref="A1276:J1276"/>
    <mergeCell ref="A1292:J1292"/>
    <mergeCell ref="A1169:J1169"/>
    <mergeCell ref="A1198:J1198"/>
    <mergeCell ref="A1199:J1199"/>
    <mergeCell ref="A1211:J1211"/>
    <mergeCell ref="A1212:J1212"/>
    <mergeCell ref="A1358:J1358"/>
    <mergeCell ref="A1359:J1359"/>
    <mergeCell ref="A1381:J1381"/>
    <mergeCell ref="A1382:J1382"/>
    <mergeCell ref="A1394:J1394"/>
    <mergeCell ref="A1293:J1293"/>
    <mergeCell ref="A1316:J1316"/>
    <mergeCell ref="A1317:J1317"/>
    <mergeCell ref="A1345:J1345"/>
    <mergeCell ref="A1346:J1346"/>
    <mergeCell ref="A1457:J1457"/>
    <mergeCell ref="A1458:J1458"/>
    <mergeCell ref="A1470:J1470"/>
    <mergeCell ref="A1471:J1471"/>
    <mergeCell ref="A1483:J1483"/>
    <mergeCell ref="A1395:J1395"/>
    <mergeCell ref="A1412:J1412"/>
    <mergeCell ref="A1413:J1413"/>
    <mergeCell ref="A1444:J1444"/>
    <mergeCell ref="A1445:J1445"/>
    <mergeCell ref="A1585:J1585"/>
    <mergeCell ref="A1586:J1586"/>
    <mergeCell ref="A1612:J1612"/>
    <mergeCell ref="A1613:J1613"/>
    <mergeCell ref="A1644:J1644"/>
    <mergeCell ref="A1484:J1484"/>
    <mergeCell ref="A1516:J1516"/>
    <mergeCell ref="A1517:J1517"/>
    <mergeCell ref="A1532:J1532"/>
    <mergeCell ref="A1533:J1533"/>
    <mergeCell ref="A1705:J1705"/>
    <mergeCell ref="A1706:J1706"/>
    <mergeCell ref="A1722:J1722"/>
    <mergeCell ref="A1723:J1723"/>
    <mergeCell ref="A1739:J1739"/>
    <mergeCell ref="A1645:J1645"/>
    <mergeCell ref="A1657:J1657"/>
    <mergeCell ref="A1658:J1658"/>
    <mergeCell ref="A1673:J1673"/>
    <mergeCell ref="A1674:J1674"/>
    <mergeCell ref="A1795:J1795"/>
    <mergeCell ref="A1796:J1796"/>
    <mergeCell ref="A1822:J1822"/>
    <mergeCell ref="A1823:J1823"/>
    <mergeCell ref="A1837:J1837"/>
    <mergeCell ref="A1740:J1740"/>
    <mergeCell ref="A1762:J1762"/>
    <mergeCell ref="A1763:J1763"/>
    <mergeCell ref="A1777:J1777"/>
    <mergeCell ref="A1778:J1778"/>
    <mergeCell ref="A1888:J1888"/>
    <mergeCell ref="A1889:J1889"/>
    <mergeCell ref="A1901:J1901"/>
    <mergeCell ref="A1902:J1902"/>
    <mergeCell ref="A1916:J1916"/>
    <mergeCell ref="A1838:J1838"/>
    <mergeCell ref="A1859:J1859"/>
    <mergeCell ref="A1860:J1860"/>
    <mergeCell ref="A1875:J1875"/>
    <mergeCell ref="A1876:J1876"/>
    <mergeCell ref="A1976:J1976"/>
    <mergeCell ref="A1977:J1977"/>
    <mergeCell ref="A1999:J1999"/>
    <mergeCell ref="A2000:J2000"/>
    <mergeCell ref="A2020:J2020"/>
    <mergeCell ref="A1917:J1917"/>
    <mergeCell ref="A1928:J1928"/>
    <mergeCell ref="A1929:J1929"/>
    <mergeCell ref="A1943:J1943"/>
    <mergeCell ref="A1944:J1944"/>
    <mergeCell ref="A2067:J2067"/>
    <mergeCell ref="A2068:J2068"/>
    <mergeCell ref="A2080:J2080"/>
    <mergeCell ref="A2081:J2081"/>
    <mergeCell ref="A2095:J2095"/>
    <mergeCell ref="A2021:J2021"/>
    <mergeCell ref="A2033:J2033"/>
    <mergeCell ref="A2034:J2034"/>
    <mergeCell ref="A2055:J2055"/>
    <mergeCell ref="A2056:J2056"/>
    <mergeCell ref="A2149:J2149"/>
    <mergeCell ref="A2150:J2150"/>
    <mergeCell ref="A2177:J2177"/>
    <mergeCell ref="A2178:J2178"/>
    <mergeCell ref="A2198:J2198"/>
    <mergeCell ref="A2096:J2096"/>
    <mergeCell ref="A2124:J2124"/>
    <mergeCell ref="A2125:J2125"/>
    <mergeCell ref="A2135:J2135"/>
    <mergeCell ref="A2136:J2136"/>
    <mergeCell ref="A2248:J2248"/>
    <mergeCell ref="A2249:J2249"/>
    <mergeCell ref="A2263:J2263"/>
    <mergeCell ref="A2264:J2264"/>
    <mergeCell ref="A2277:J2277"/>
    <mergeCell ref="A2199:J2199"/>
    <mergeCell ref="A2212:J2212"/>
    <mergeCell ref="A2213:J2213"/>
    <mergeCell ref="A2236:J2236"/>
    <mergeCell ref="A2237:J2237"/>
    <mergeCell ref="A2331:J2331"/>
    <mergeCell ref="A2332:J2332"/>
    <mergeCell ref="A2359:J2359"/>
    <mergeCell ref="A2360:J2360"/>
    <mergeCell ref="A2376:J2376"/>
    <mergeCell ref="A2278:J2278"/>
    <mergeCell ref="A2290:J2290"/>
    <mergeCell ref="A2291:J2291"/>
    <mergeCell ref="A2317:J2317"/>
    <mergeCell ref="A2318:J2318"/>
    <mergeCell ref="A2456:J2456"/>
    <mergeCell ref="A2457:J2457"/>
    <mergeCell ref="A2468:J2468"/>
    <mergeCell ref="A2469:J2469"/>
    <mergeCell ref="A2482:J2482"/>
    <mergeCell ref="A2377:J2377"/>
    <mergeCell ref="A2399:J2399"/>
    <mergeCell ref="A2400:J2400"/>
    <mergeCell ref="A2431:J2431"/>
    <mergeCell ref="A2432:J2432"/>
    <mergeCell ref="A2537:J2537"/>
    <mergeCell ref="A2538:J2538"/>
    <mergeCell ref="A2565:J2565"/>
    <mergeCell ref="A2566:J2566"/>
    <mergeCell ref="A2580:J2580"/>
    <mergeCell ref="A2483:J2483"/>
    <mergeCell ref="A2496:J2496"/>
    <mergeCell ref="A2497:J2497"/>
    <mergeCell ref="A2525:J2525"/>
    <mergeCell ref="A2526:J2526"/>
    <mergeCell ref="A2648:J2648"/>
    <mergeCell ref="A2649:J2649"/>
    <mergeCell ref="A2661:J2661"/>
    <mergeCell ref="A2662:J2662"/>
    <mergeCell ref="A2672:J2672"/>
    <mergeCell ref="A2581:J2581"/>
    <mergeCell ref="A2609:J2609"/>
    <mergeCell ref="A2610:J2610"/>
    <mergeCell ref="A2632:J2632"/>
    <mergeCell ref="A2633:J2633"/>
    <mergeCell ref="A2734:J2734"/>
    <mergeCell ref="A2735:J2735"/>
    <mergeCell ref="A2748:J2748"/>
    <mergeCell ref="A2749:J2749"/>
    <mergeCell ref="A2779:J2779"/>
    <mergeCell ref="A2673:J2673"/>
    <mergeCell ref="A2685:J2685"/>
    <mergeCell ref="A2686:J2686"/>
    <mergeCell ref="A2698:J2698"/>
    <mergeCell ref="A2699:J2699"/>
    <mergeCell ref="A2845:J2845"/>
    <mergeCell ref="A2846:J2846"/>
    <mergeCell ref="A2867:J2867"/>
    <mergeCell ref="A2868:J2868"/>
    <mergeCell ref="A2883:J2883"/>
    <mergeCell ref="A2780:J2780"/>
    <mergeCell ref="A2795:J2795"/>
    <mergeCell ref="A2796:J2796"/>
    <mergeCell ref="A2814:J2814"/>
    <mergeCell ref="A2815:J2815"/>
    <mergeCell ref="A2941:J2941"/>
    <mergeCell ref="A2942:J2942"/>
    <mergeCell ref="A2958:J2958"/>
    <mergeCell ref="A2959:J2959"/>
    <mergeCell ref="A2979:J2979"/>
    <mergeCell ref="A2884:J2884"/>
    <mergeCell ref="A2894:J2894"/>
    <mergeCell ref="A2895:J2895"/>
    <mergeCell ref="A2920:J2920"/>
    <mergeCell ref="A2921:J2921"/>
    <mergeCell ref="A3056:J3056"/>
    <mergeCell ref="A3057:J3057"/>
    <mergeCell ref="A3070:J3070"/>
    <mergeCell ref="A3071:J3071"/>
    <mergeCell ref="A3082:J3082"/>
    <mergeCell ref="A2980:J2980"/>
    <mergeCell ref="A3011:J3011"/>
    <mergeCell ref="A3012:J3012"/>
    <mergeCell ref="A3040:J3040"/>
    <mergeCell ref="A3041:J3041"/>
    <mergeCell ref="A3122:J3122"/>
    <mergeCell ref="A3123:J3123"/>
    <mergeCell ref="A3138:J3138"/>
    <mergeCell ref="A3139:J3139"/>
    <mergeCell ref="A3168:J3168"/>
    <mergeCell ref="A3083:J3083"/>
    <mergeCell ref="A3095:J3095"/>
    <mergeCell ref="A3096:J3096"/>
    <mergeCell ref="A3107:J3107"/>
    <mergeCell ref="A3108:J3108"/>
    <mergeCell ref="A3224:J3224"/>
    <mergeCell ref="A3225:J3225"/>
    <mergeCell ref="A3239:J3239"/>
    <mergeCell ref="A3240:J3240"/>
    <mergeCell ref="A3262:J3262"/>
    <mergeCell ref="A3169:J3169"/>
    <mergeCell ref="A3181:J3181"/>
    <mergeCell ref="A3182:J3182"/>
    <mergeCell ref="A3195:J3195"/>
    <mergeCell ref="A3196:J3196"/>
    <mergeCell ref="A3311:J3311"/>
    <mergeCell ref="A3312:J3312"/>
    <mergeCell ref="A3333:J3333"/>
    <mergeCell ref="A3334:J3334"/>
    <mergeCell ref="A3347:J3347"/>
    <mergeCell ref="A3263:J3263"/>
    <mergeCell ref="A3274:J3274"/>
    <mergeCell ref="A3275:J3275"/>
    <mergeCell ref="A3298:J3298"/>
    <mergeCell ref="A3299:J3299"/>
    <mergeCell ref="A3409:J3409"/>
    <mergeCell ref="A3410:J3410"/>
    <mergeCell ref="A3421:J3421"/>
    <mergeCell ref="A3422:J3422"/>
    <mergeCell ref="A3448:J3448"/>
    <mergeCell ref="A3348:J3348"/>
    <mergeCell ref="A3376:J3376"/>
    <mergeCell ref="A3377:J3377"/>
    <mergeCell ref="A3397:J3397"/>
    <mergeCell ref="A3398:J3398"/>
    <mergeCell ref="A3499:J3499"/>
    <mergeCell ref="A3500:J3500"/>
    <mergeCell ref="A3513:J3513"/>
    <mergeCell ref="A3514:J3514"/>
    <mergeCell ref="A3542:J3542"/>
    <mergeCell ref="A3449:J3449"/>
    <mergeCell ref="A3464:J3464"/>
    <mergeCell ref="A3465:J3465"/>
    <mergeCell ref="A3476:J3476"/>
    <mergeCell ref="A3477:J3477"/>
    <mergeCell ref="A3592:J3592"/>
    <mergeCell ref="A3593:J3593"/>
    <mergeCell ref="A3618:J3618"/>
    <mergeCell ref="A3619:J3619"/>
    <mergeCell ref="A3632:J3632"/>
    <mergeCell ref="A3543:J3543"/>
    <mergeCell ref="A3556:J3556"/>
    <mergeCell ref="A3557:J3557"/>
    <mergeCell ref="A3581:J3581"/>
    <mergeCell ref="A3582:J3582"/>
    <mergeCell ref="A3697:J3697"/>
    <mergeCell ref="A3698:J3698"/>
    <mergeCell ref="A3718:J3718"/>
    <mergeCell ref="A3719:J3719"/>
    <mergeCell ref="A3740:J3740"/>
    <mergeCell ref="A3633:J3633"/>
    <mergeCell ref="A3657:J3657"/>
    <mergeCell ref="A3658:J3658"/>
    <mergeCell ref="A3671:J3671"/>
    <mergeCell ref="A3672:J3672"/>
    <mergeCell ref="A3793:J3793"/>
    <mergeCell ref="A3794:J3794"/>
    <mergeCell ref="A3819:J3819"/>
    <mergeCell ref="A3820:J3820"/>
    <mergeCell ref="A3840:J3840"/>
    <mergeCell ref="A3741:J3741"/>
    <mergeCell ref="A3754:J3754"/>
    <mergeCell ref="A3755:J3755"/>
    <mergeCell ref="A3779:J3779"/>
    <mergeCell ref="A3780:J3780"/>
    <mergeCell ref="A3906:J3906"/>
    <mergeCell ref="A3907:J3907"/>
    <mergeCell ref="A3927:J3927"/>
    <mergeCell ref="A3928:J3928"/>
    <mergeCell ref="A3948:J3948"/>
    <mergeCell ref="A3841:J3841"/>
    <mergeCell ref="A3862:J3862"/>
    <mergeCell ref="A3863:J3863"/>
    <mergeCell ref="A3875:J3875"/>
    <mergeCell ref="A3876:J3876"/>
    <mergeCell ref="A4072:J4072"/>
    <mergeCell ref="A4099:J4099"/>
    <mergeCell ref="A4100:J4100"/>
    <mergeCell ref="A4007:J4007"/>
    <mergeCell ref="A4008:J4008"/>
    <mergeCell ref="A4033:J4033"/>
    <mergeCell ref="A4034:J4034"/>
    <mergeCell ref="A4071:J4071"/>
    <mergeCell ref="A3949:J3949"/>
    <mergeCell ref="A3960:J3960"/>
    <mergeCell ref="A3961:J3961"/>
    <mergeCell ref="A3984:J3984"/>
    <mergeCell ref="A3985:J3985"/>
  </mergeCells>
  <pageMargins left="0.7" right="0.7" top="0.75" bottom="0.75" header="0.3" footer="0.3"/>
  <pageSetup paperSize="0" scale="0" fitToHeight="0" orientation="portrait" usePrinterDefaults="0" horizontalDpi="0" verticalDpi="0" copies="0"/>
  <headerFooter alignWithMargins="0"/>
  <rowBreaks count="265" manualBreakCount="265">
    <brk id="38" max="16383" man="1"/>
    <brk id="49" max="16383" man="1"/>
    <brk id="60" max="16383" man="1"/>
    <brk id="72" max="16383" man="1"/>
    <brk id="88" max="16383" man="1"/>
    <brk id="110" max="16383" man="1"/>
    <brk id="140" max="16383" man="1"/>
    <brk id="167" max="16383" man="1"/>
    <brk id="187" max="16383" man="1"/>
    <brk id="206" max="16383" man="1"/>
    <brk id="225" max="16383" man="1"/>
    <brk id="241" max="16383" man="1"/>
    <brk id="260" max="16383" man="1"/>
    <brk id="296" max="16383" man="1"/>
    <brk id="329" max="16383" man="1"/>
    <brk id="341" max="16383" man="1"/>
    <brk id="356" max="16383" man="1"/>
    <brk id="387" max="16383" man="1"/>
    <brk id="407" max="16383" man="1"/>
    <brk id="421" max="16383" man="1"/>
    <brk id="455" max="16383" man="1"/>
    <brk id="485" max="16383" man="1"/>
    <brk id="508" max="16383" man="1"/>
    <brk id="533" max="16383" man="1"/>
    <brk id="549" max="16383" man="1"/>
    <brk id="570" max="16383" man="1"/>
    <brk id="589" max="16383" man="1"/>
    <brk id="608" max="16383" man="1"/>
    <brk id="625" max="16383" man="1"/>
    <brk id="646" max="16383" man="1"/>
    <brk id="660" max="16383" man="1"/>
    <brk id="683" max="16383" man="1"/>
    <brk id="708" max="16383" man="1"/>
    <brk id="729" max="16383" man="1"/>
    <brk id="747" max="16383" man="1"/>
    <brk id="766" max="16383" man="1"/>
    <brk id="785" max="16383" man="1"/>
    <brk id="806" max="16383" man="1"/>
    <brk id="823" max="16383" man="1"/>
    <brk id="843" max="16383" man="1"/>
    <brk id="863" max="16383" man="1"/>
    <brk id="883" max="16383" man="1"/>
    <brk id="899" max="16383" man="1"/>
    <brk id="925" max="16383" man="1"/>
    <brk id="941" max="16383" man="1"/>
    <brk id="956" max="16383" man="1"/>
    <brk id="973" max="16383" man="1"/>
    <brk id="993" max="16383" man="1"/>
    <brk id="1013" max="16383" man="1"/>
    <brk id="1035" max="16383" man="1"/>
    <brk id="1059" max="16383" man="1"/>
    <brk id="1074" max="16383" man="1"/>
    <brk id="1108" max="16383" man="1"/>
    <brk id="1122" max="16383" man="1"/>
    <brk id="1145" max="16383" man="1"/>
    <brk id="1167" max="16383" man="1"/>
    <brk id="1197" max="16383" man="1"/>
    <brk id="1210" max="16383" man="1"/>
    <brk id="1230" max="16383" man="1"/>
    <brk id="1245" max="16383" man="1"/>
    <brk id="1274" max="16383" man="1"/>
    <brk id="1291" max="16383" man="1"/>
    <brk id="1315" max="16383" man="1"/>
    <brk id="1328" max="16383" man="1"/>
    <brk id="1344" max="16383" man="1"/>
    <brk id="1357" max="16383" man="1"/>
    <brk id="1380" max="16383" man="1"/>
    <brk id="1393" max="16383" man="1"/>
    <brk id="1411" max="16383" man="1"/>
    <brk id="1426" max="16383" man="1"/>
    <brk id="1443" max="16383" man="1"/>
    <brk id="1456" max="16383" man="1"/>
    <brk id="1469" max="16383" man="1"/>
    <brk id="1482" max="16383" man="1"/>
    <brk id="1499" max="16383" man="1"/>
    <brk id="1515" max="16383" man="1"/>
    <brk id="1531" max="16383" man="1"/>
    <brk id="1570" max="16383" man="1"/>
    <brk id="1584" max="16383" man="1"/>
    <brk id="1611" max="16383" man="1"/>
    <brk id="1629" max="16383" man="1"/>
    <brk id="1643" max="16383" man="1"/>
    <brk id="1656" max="16383" man="1"/>
    <brk id="1672" max="16383" man="1"/>
    <brk id="1689" max="16383" man="1"/>
    <brk id="1704" max="16383" man="1"/>
    <brk id="1721" max="16383" man="1"/>
    <brk id="1738" max="16383" man="1"/>
    <brk id="1761" max="16383" man="1"/>
    <brk id="1776" max="16383" man="1"/>
    <brk id="1794" max="16383" man="1"/>
    <brk id="1803" max="16383" man="1"/>
    <brk id="1821" max="16383" man="1"/>
    <brk id="1836" max="16383" man="1"/>
    <brk id="1844" max="16383" man="1"/>
    <brk id="1858" max="16383" man="1"/>
    <brk id="1874" max="16383" man="1"/>
    <brk id="1887" max="16383" man="1"/>
    <brk id="1900" max="16383" man="1"/>
    <brk id="1915" max="16383" man="1"/>
    <brk id="1927" max="16383" man="1"/>
    <brk id="1942" max="16383" man="1"/>
    <brk id="1956" max="16383" man="1"/>
    <brk id="1975" max="16383" man="1"/>
    <brk id="1985" max="16383" man="1"/>
    <brk id="1998" max="16383" man="1"/>
    <brk id="2006" max="16383" man="1"/>
    <brk id="2019" max="16383" man="1"/>
    <brk id="2032" max="16383" man="1"/>
    <brk id="2040" max="16383" man="1"/>
    <brk id="2054" max="16383" man="1"/>
    <brk id="2066" max="16383" man="1"/>
    <brk id="2079" max="16383" man="1"/>
    <brk id="2094" max="16383" man="1"/>
    <brk id="2107" max="16383" man="1"/>
    <brk id="2123" max="16383" man="1"/>
    <brk id="2134" max="16383" man="1"/>
    <brk id="2148" max="16383" man="1"/>
    <brk id="2161" max="16383" man="1"/>
    <brk id="2176" max="16383" man="1"/>
    <brk id="2184" max="16383" man="1"/>
    <brk id="2197" max="16383" man="1"/>
    <brk id="2211" max="16383" man="1"/>
    <brk id="2221" max="16383" man="1"/>
    <brk id="2235" max="16383" man="1"/>
    <brk id="2247" max="16383" man="1"/>
    <brk id="2262" max="16383" man="1"/>
    <brk id="2276" max="16383" man="1"/>
    <brk id="2289" max="16383" man="1"/>
    <brk id="2299" max="16383" man="1"/>
    <brk id="2316" max="16383" man="1"/>
    <brk id="2330" max="16383" man="1"/>
    <brk id="2344" max="16383" man="1"/>
    <brk id="2358" max="16383" man="1"/>
    <brk id="2375" max="16383" man="1"/>
    <brk id="2398" max="16383" man="1"/>
    <brk id="2415" max="16383" man="1"/>
    <brk id="2430" max="16383" man="1"/>
    <brk id="2442" max="16383" man="1"/>
    <brk id="2455" max="16383" man="1"/>
    <brk id="2467" max="16383" man="1"/>
    <brk id="2481" max="16383" man="1"/>
    <brk id="2495" max="16383" man="1"/>
    <brk id="2508" max="16383" man="1"/>
    <brk id="2524" max="16383" man="1"/>
    <brk id="2536" max="16383" man="1"/>
    <brk id="2550" max="16383" man="1"/>
    <brk id="2564" max="16383" man="1"/>
    <brk id="2579" max="16383" man="1"/>
    <brk id="2594" max="16383" man="1"/>
    <brk id="2608" max="16383" man="1"/>
    <brk id="2618" max="16383" man="1"/>
    <brk id="2631" max="16383" man="1"/>
    <brk id="2647" max="16383" man="1"/>
    <brk id="2660" max="16383" man="1"/>
    <brk id="2671" max="16383" man="1"/>
    <brk id="2684" max="16383" man="1"/>
    <brk id="2697" max="16383" man="1"/>
    <brk id="2715" max="16383" man="1"/>
    <brk id="2733" max="16383" man="1"/>
    <brk id="2747" max="16383" man="1"/>
    <brk id="2764" max="16383" man="1"/>
    <brk id="2778" max="16383" man="1"/>
    <brk id="2794" max="16383" man="1"/>
    <brk id="2813" max="16383" man="1"/>
    <brk id="2829" max="16383" man="1"/>
    <brk id="2844" max="16383" man="1"/>
    <brk id="2853" max="16383" man="1"/>
    <brk id="2866" max="16383" man="1"/>
    <brk id="2882" max="16383" man="1"/>
    <brk id="2893" max="16383" man="1"/>
    <brk id="2904" max="16383" man="1"/>
    <brk id="2919" max="16383" man="1"/>
    <brk id="2927" max="16383" man="1"/>
    <brk id="2940" max="16383" man="1"/>
    <brk id="2957" max="16383" man="1"/>
    <brk id="2978" max="16383" man="1"/>
    <brk id="2995" max="16383" man="1"/>
    <brk id="3010" max="16383" man="1"/>
    <brk id="3026" max="16383" man="1"/>
    <brk id="3039" max="16383" man="1"/>
    <brk id="3055" max="16383" man="1"/>
    <brk id="3069" max="16383" man="1"/>
    <brk id="3081" max="16383" man="1"/>
    <brk id="3094" max="16383" man="1"/>
    <brk id="3106" max="16383" man="1"/>
    <brk id="3121" max="16383" man="1"/>
    <brk id="3137" max="16383" man="1"/>
    <brk id="3147" max="16383" man="1"/>
    <brk id="3167" max="16383" man="1"/>
    <brk id="3180" max="16383" man="1"/>
    <brk id="3194" max="16383" man="1"/>
    <brk id="3208" max="16383" man="1"/>
    <brk id="3223" max="16383" man="1"/>
    <brk id="3238" max="16383" man="1"/>
    <brk id="3247" max="16383" man="1"/>
    <brk id="3261" max="16383" man="1"/>
    <brk id="3273" max="16383" man="1"/>
    <brk id="3283" max="16383" man="1"/>
    <brk id="3297" max="16383" man="1"/>
    <brk id="3310" max="16383" man="1"/>
    <brk id="3318" max="16383" man="1"/>
    <brk id="3332" max="16383" man="1"/>
    <brk id="3346" max="16383" man="1"/>
    <brk id="3361" max="16383" man="1"/>
    <brk id="3375" max="16383" man="1"/>
    <brk id="3383" max="16383" man="1"/>
    <brk id="3396" max="16383" man="1"/>
    <brk id="3408" max="16383" man="1"/>
    <brk id="3420" max="16383" man="1"/>
    <brk id="3432" max="16383" man="1"/>
    <brk id="3447" max="16383" man="1"/>
    <brk id="3463" max="16383" man="1"/>
    <brk id="3475" max="16383" man="1"/>
    <brk id="3483" max="16383" man="1"/>
    <brk id="3498" max="16383" man="1"/>
    <brk id="3512" max="16383" man="1"/>
    <brk id="3527" max="16383" man="1"/>
    <brk id="3541" max="16383" man="1"/>
    <brk id="3555" max="16383" man="1"/>
    <brk id="3566" max="16383" man="1"/>
    <brk id="3580" max="16383" man="1"/>
    <brk id="3591" max="16383" man="1"/>
    <brk id="3603" max="16383" man="1"/>
    <brk id="3617" max="16383" man="1"/>
    <brk id="3631" max="16383" man="1"/>
    <brk id="3642" max="16383" man="1"/>
    <brk id="3656" max="16383" man="1"/>
    <brk id="3670" max="16383" man="1"/>
    <brk id="3682" max="16383" man="1"/>
    <brk id="3696" max="16383" man="1"/>
    <brk id="3704" max="16383" man="1"/>
    <brk id="3717" max="16383" man="1"/>
    <brk id="3726" max="16383" man="1"/>
    <brk id="3739" max="16383" man="1"/>
    <brk id="3753" max="16383" man="1"/>
    <brk id="3764" max="16383" man="1"/>
    <brk id="3778" max="16383" man="1"/>
    <brk id="3792" max="16383" man="1"/>
    <brk id="3804" max="16383" man="1"/>
    <brk id="3818" max="16383" man="1"/>
    <brk id="3826" max="16383" man="1"/>
    <brk id="3839" max="16383" man="1"/>
    <brk id="3848" max="16383" man="1"/>
    <brk id="3861" max="16383" man="1"/>
    <brk id="3874" max="16383" man="1"/>
    <brk id="3891" max="16383" man="1"/>
    <brk id="3905" max="16383" man="1"/>
    <brk id="3913" max="16383" man="1"/>
    <brk id="3926" max="16383" man="1"/>
    <brk id="3934" max="16383" man="1"/>
    <brk id="3947" max="16383" man="1"/>
    <brk id="3959" max="16383" man="1"/>
    <brk id="3969" max="16383" man="1"/>
    <brk id="3983" max="16383" man="1"/>
    <brk id="3993" max="16383" man="1"/>
    <brk id="4006" max="16383" man="1"/>
    <brk id="4019" max="16383" man="1"/>
    <brk id="4032" max="16383" man="1"/>
    <brk id="4057" max="16383" man="1"/>
    <brk id="4070" max="16383" man="1"/>
    <brk id="4085" max="16383" man="1"/>
    <brk id="4098" max="16383" man="1"/>
    <brk id="4150" max="16383" man="1"/>
    <brk id="416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E152"/>
  <sheetViews>
    <sheetView workbookViewId="0"/>
  </sheetViews>
  <sheetFormatPr defaultColWidth="11.42578125" defaultRowHeight="14.25" x14ac:dyDescent="0.2"/>
  <cols>
    <col min="2" max="2" width="15.5703125" customWidth="1"/>
    <col min="3" max="3" width="86" customWidth="1"/>
    <col min="5" max="5" width="19.5703125" customWidth="1"/>
    <col min="9" max="9" width="19.5703125" customWidth="1"/>
  </cols>
  <sheetData>
    <row r="8" spans="1:5" ht="15" x14ac:dyDescent="0.25">
      <c r="A8" s="19" t="s">
        <v>2041</v>
      </c>
      <c r="B8" s="14"/>
      <c r="C8" s="14"/>
      <c r="D8" s="14"/>
      <c r="E8" s="3" t="s">
        <v>90</v>
      </c>
    </row>
    <row r="9" spans="1:5" x14ac:dyDescent="0.2">
      <c r="A9" s="8" t="s">
        <v>2042</v>
      </c>
      <c r="E9" s="15"/>
    </row>
    <row r="10" spans="1:5" x14ac:dyDescent="0.2">
      <c r="A10" s="8"/>
      <c r="C10" t="s">
        <v>1</v>
      </c>
      <c r="E10" s="16">
        <f>'Bill Items'!I85</f>
        <v>0</v>
      </c>
    </row>
    <row r="11" spans="1:5" x14ac:dyDescent="0.2">
      <c r="A11" s="8" t="s">
        <v>2043</v>
      </c>
      <c r="E11" s="15"/>
    </row>
    <row r="12" spans="1:5" x14ac:dyDescent="0.2">
      <c r="A12" s="8"/>
      <c r="C12" t="s">
        <v>97</v>
      </c>
      <c r="E12" s="16">
        <f>'Bill Items'!I257</f>
        <v>0</v>
      </c>
    </row>
    <row r="13" spans="1:5" x14ac:dyDescent="0.2">
      <c r="A13" s="8" t="s">
        <v>2044</v>
      </c>
      <c r="E13" s="15"/>
    </row>
    <row r="14" spans="1:5" x14ac:dyDescent="0.2">
      <c r="A14" s="8"/>
      <c r="C14" t="s">
        <v>229</v>
      </c>
      <c r="E14" s="16">
        <f>'Bill Items'!I353</f>
        <v>0</v>
      </c>
    </row>
    <row r="15" spans="1:5" x14ac:dyDescent="0.2">
      <c r="A15" s="8" t="s">
        <v>2045</v>
      </c>
      <c r="E15" s="15"/>
    </row>
    <row r="16" spans="1:5" x14ac:dyDescent="0.2">
      <c r="A16" s="8"/>
      <c r="C16" t="s">
        <v>299</v>
      </c>
      <c r="E16" s="16">
        <f>'Bill Items'!I418</f>
        <v>0</v>
      </c>
    </row>
    <row r="17" spans="1:5" x14ac:dyDescent="0.2">
      <c r="A17" s="8" t="s">
        <v>2046</v>
      </c>
      <c r="E17" s="15"/>
    </row>
    <row r="18" spans="1:5" x14ac:dyDescent="0.2">
      <c r="A18" s="8"/>
      <c r="C18" t="s">
        <v>343</v>
      </c>
      <c r="E18" s="16">
        <f>'Bill Items'!I605</f>
        <v>0</v>
      </c>
    </row>
    <row r="19" spans="1:5" x14ac:dyDescent="0.2">
      <c r="A19" s="8" t="s">
        <v>2047</v>
      </c>
      <c r="E19" s="15"/>
    </row>
    <row r="20" spans="1:5" x14ac:dyDescent="0.2">
      <c r="A20" s="8"/>
      <c r="C20" t="s">
        <v>463</v>
      </c>
      <c r="E20" s="16">
        <f>'Bill Items'!I657</f>
        <v>0</v>
      </c>
    </row>
    <row r="21" spans="1:5" x14ac:dyDescent="0.2">
      <c r="A21" s="8" t="s">
        <v>2048</v>
      </c>
      <c r="E21" s="15"/>
    </row>
    <row r="22" spans="1:5" x14ac:dyDescent="0.2">
      <c r="A22" s="8"/>
      <c r="C22" t="s">
        <v>495</v>
      </c>
      <c r="E22" s="16">
        <f>'Bill Items'!I840</f>
        <v>0</v>
      </c>
    </row>
    <row r="23" spans="1:5" x14ac:dyDescent="0.2">
      <c r="A23" s="8" t="s">
        <v>2049</v>
      </c>
      <c r="E23" s="15"/>
    </row>
    <row r="24" spans="1:5" x14ac:dyDescent="0.2">
      <c r="A24" s="8"/>
      <c r="C24" t="s">
        <v>617</v>
      </c>
      <c r="E24" s="16">
        <f>'Bill Items'!I938</f>
        <v>0</v>
      </c>
    </row>
    <row r="25" spans="1:5" x14ac:dyDescent="0.2">
      <c r="A25" s="8" t="s">
        <v>2050</v>
      </c>
      <c r="E25" s="15"/>
    </row>
    <row r="26" spans="1:5" x14ac:dyDescent="0.2">
      <c r="A26" s="8"/>
      <c r="C26" t="s">
        <v>684</v>
      </c>
      <c r="E26" s="16">
        <f>'Bill Items'!I1164</f>
        <v>0</v>
      </c>
    </row>
    <row r="27" spans="1:5" x14ac:dyDescent="0.2">
      <c r="A27" s="8" t="s">
        <v>2051</v>
      </c>
      <c r="E27" s="15"/>
    </row>
    <row r="28" spans="1:5" x14ac:dyDescent="0.2">
      <c r="A28" s="8"/>
      <c r="C28" t="s">
        <v>807</v>
      </c>
      <c r="E28" s="16">
        <f>'Bill Items'!I1242</f>
        <v>0</v>
      </c>
    </row>
    <row r="29" spans="1:5" x14ac:dyDescent="0.2">
      <c r="A29" s="8" t="s">
        <v>2052</v>
      </c>
      <c r="E29" s="15"/>
    </row>
    <row r="30" spans="1:5" x14ac:dyDescent="0.2">
      <c r="A30" s="8"/>
      <c r="C30" t="s">
        <v>861</v>
      </c>
      <c r="E30" s="16">
        <f>'Bill Items'!I1341</f>
        <v>0</v>
      </c>
    </row>
    <row r="31" spans="1:5" x14ac:dyDescent="0.2">
      <c r="A31" s="8" t="s">
        <v>2053</v>
      </c>
      <c r="E31" s="15"/>
    </row>
    <row r="32" spans="1:5" x14ac:dyDescent="0.2">
      <c r="A32" s="8"/>
      <c r="C32" t="s">
        <v>920</v>
      </c>
      <c r="E32" s="16">
        <f>'Bill Items'!I1440</f>
        <v>0</v>
      </c>
    </row>
    <row r="33" spans="1:5" x14ac:dyDescent="0.2">
      <c r="A33" s="8" t="s">
        <v>2054</v>
      </c>
      <c r="E33" s="15"/>
    </row>
    <row r="34" spans="1:5" x14ac:dyDescent="0.2">
      <c r="A34" s="8"/>
      <c r="C34" t="s">
        <v>982</v>
      </c>
      <c r="E34" s="16">
        <f>'Bill Items'!I1512</f>
        <v>0</v>
      </c>
    </row>
    <row r="35" spans="1:5" x14ac:dyDescent="0.2">
      <c r="A35" s="8" t="s">
        <v>2055</v>
      </c>
      <c r="E35" s="15"/>
    </row>
    <row r="36" spans="1:5" x14ac:dyDescent="0.2">
      <c r="A36" s="8"/>
      <c r="C36" t="s">
        <v>1023</v>
      </c>
      <c r="E36" s="16">
        <f>'Bill Items'!I1581</f>
        <v>0</v>
      </c>
    </row>
    <row r="37" spans="1:5" x14ac:dyDescent="0.2">
      <c r="A37" s="8" t="s">
        <v>2056</v>
      </c>
      <c r="E37" s="15"/>
    </row>
    <row r="38" spans="1:5" x14ac:dyDescent="0.2">
      <c r="A38" s="8"/>
      <c r="C38" t="s">
        <v>1075</v>
      </c>
      <c r="E38" s="16">
        <f>'Bill Items'!I1640</f>
        <v>0</v>
      </c>
    </row>
    <row r="39" spans="1:5" x14ac:dyDescent="0.2">
      <c r="A39" s="8" t="s">
        <v>2057</v>
      </c>
      <c r="E39" s="15"/>
    </row>
    <row r="40" spans="1:5" x14ac:dyDescent="0.2">
      <c r="A40" s="8"/>
      <c r="C40" t="s">
        <v>1114</v>
      </c>
      <c r="E40" s="16">
        <f>'Bill Items'!I1701</f>
        <v>0</v>
      </c>
    </row>
    <row r="41" spans="1:5" x14ac:dyDescent="0.2">
      <c r="A41" s="8" t="s">
        <v>2058</v>
      </c>
      <c r="E41" s="15"/>
    </row>
    <row r="42" spans="1:5" x14ac:dyDescent="0.2">
      <c r="A42" s="8"/>
      <c r="C42" t="s">
        <v>1147</v>
      </c>
      <c r="E42" s="16">
        <f>'Bill Items'!I1818</f>
        <v>0</v>
      </c>
    </row>
    <row r="43" spans="1:5" x14ac:dyDescent="0.2">
      <c r="A43" s="8" t="s">
        <v>2059</v>
      </c>
      <c r="E43" s="15"/>
    </row>
    <row r="44" spans="1:5" x14ac:dyDescent="0.2">
      <c r="A44" s="8"/>
      <c r="C44" t="s">
        <v>1216</v>
      </c>
      <c r="E44" s="16">
        <f>'Bill Items'!I1855</f>
        <v>0</v>
      </c>
    </row>
    <row r="45" spans="1:5" x14ac:dyDescent="0.2">
      <c r="A45" s="8" t="s">
        <v>2060</v>
      </c>
      <c r="E45" s="15"/>
    </row>
    <row r="46" spans="1:5" x14ac:dyDescent="0.2">
      <c r="A46" s="8"/>
      <c r="C46" t="s">
        <v>1230</v>
      </c>
      <c r="E46" s="16">
        <f>'Bill Items'!I1972</f>
        <v>0</v>
      </c>
    </row>
    <row r="47" spans="1:5" x14ac:dyDescent="0.2">
      <c r="A47" s="8" t="s">
        <v>2061</v>
      </c>
      <c r="E47" s="15"/>
    </row>
    <row r="48" spans="1:5" x14ac:dyDescent="0.2">
      <c r="A48" s="8"/>
      <c r="C48" t="s">
        <v>1296</v>
      </c>
      <c r="E48" s="16">
        <f>'Bill Items'!I1995</f>
        <v>0</v>
      </c>
    </row>
    <row r="49" spans="1:5" x14ac:dyDescent="0.2">
      <c r="A49" s="8" t="s">
        <v>2062</v>
      </c>
      <c r="E49" s="15"/>
    </row>
    <row r="50" spans="1:5" x14ac:dyDescent="0.2">
      <c r="A50" s="8"/>
      <c r="C50" t="s">
        <v>1302</v>
      </c>
      <c r="E50" s="16">
        <f>'Bill Items'!I2016</f>
        <v>0</v>
      </c>
    </row>
    <row r="51" spans="1:5" x14ac:dyDescent="0.2">
      <c r="A51" s="8" t="s">
        <v>2063</v>
      </c>
      <c r="E51" s="15"/>
    </row>
    <row r="52" spans="1:5" x14ac:dyDescent="0.2">
      <c r="A52" s="8"/>
      <c r="C52" t="s">
        <v>1308</v>
      </c>
      <c r="E52" s="16">
        <f>'Bill Items'!I2051</f>
        <v>0</v>
      </c>
    </row>
    <row r="53" spans="1:5" x14ac:dyDescent="0.2">
      <c r="A53" s="8" t="s">
        <v>2064</v>
      </c>
      <c r="E53" s="15"/>
    </row>
    <row r="54" spans="1:5" x14ac:dyDescent="0.2">
      <c r="A54" s="8"/>
      <c r="C54" t="s">
        <v>1316</v>
      </c>
      <c r="E54" s="16">
        <f>'Bill Items'!I2120</f>
        <v>0</v>
      </c>
    </row>
    <row r="55" spans="1:5" x14ac:dyDescent="0.2">
      <c r="A55" s="8" t="s">
        <v>2065</v>
      </c>
      <c r="E55" s="15"/>
    </row>
    <row r="56" spans="1:5" x14ac:dyDescent="0.2">
      <c r="A56" s="8"/>
      <c r="C56" t="s">
        <v>1338</v>
      </c>
      <c r="E56" s="16">
        <f>'Bill Items'!I2173</f>
        <v>0</v>
      </c>
    </row>
    <row r="57" spans="1:5" x14ac:dyDescent="0.2">
      <c r="A57" s="8" t="s">
        <v>2066</v>
      </c>
      <c r="E57" s="15"/>
    </row>
    <row r="58" spans="1:5" x14ac:dyDescent="0.2">
      <c r="A58" s="8"/>
      <c r="C58" t="s">
        <v>1358</v>
      </c>
      <c r="E58" s="16">
        <f>'Bill Items'!I2194</f>
        <v>0</v>
      </c>
    </row>
    <row r="59" spans="1:5" x14ac:dyDescent="0.2">
      <c r="A59" s="8" t="s">
        <v>2067</v>
      </c>
      <c r="E59" s="15"/>
    </row>
    <row r="60" spans="1:5" x14ac:dyDescent="0.2">
      <c r="A60" s="8"/>
      <c r="C60" t="s">
        <v>1363</v>
      </c>
      <c r="E60" s="16">
        <f>'Bill Items'!I2232</f>
        <v>0</v>
      </c>
    </row>
    <row r="61" spans="1:5" x14ac:dyDescent="0.2">
      <c r="A61" s="8" t="s">
        <v>2068</v>
      </c>
      <c r="E61" s="15"/>
    </row>
    <row r="62" spans="1:5" x14ac:dyDescent="0.2">
      <c r="A62" s="8"/>
      <c r="C62" t="s">
        <v>1376</v>
      </c>
      <c r="E62" s="16">
        <f>'Bill Items'!I2313</f>
        <v>0</v>
      </c>
    </row>
    <row r="63" spans="1:5" x14ac:dyDescent="0.2">
      <c r="A63" s="8" t="s">
        <v>2069</v>
      </c>
      <c r="E63" s="15"/>
    </row>
    <row r="64" spans="1:5" x14ac:dyDescent="0.2">
      <c r="A64" s="8"/>
      <c r="C64" t="s">
        <v>1402</v>
      </c>
      <c r="E64" s="16">
        <f>'Bill Items'!I2355</f>
        <v>0</v>
      </c>
    </row>
    <row r="65" spans="1:5" x14ac:dyDescent="0.2">
      <c r="A65" s="8" t="s">
        <v>2070</v>
      </c>
      <c r="E65" s="15"/>
    </row>
    <row r="66" spans="1:5" x14ac:dyDescent="0.2">
      <c r="A66" s="8"/>
      <c r="C66" t="s">
        <v>1413</v>
      </c>
      <c r="E66" s="16">
        <f>'Bill Items'!I2427</f>
        <v>0</v>
      </c>
    </row>
    <row r="67" spans="1:5" x14ac:dyDescent="0.2">
      <c r="A67" s="8" t="s">
        <v>2071</v>
      </c>
      <c r="E67" s="15"/>
    </row>
    <row r="68" spans="1:5" x14ac:dyDescent="0.2">
      <c r="A68" s="8"/>
      <c r="C68" t="s">
        <v>1459</v>
      </c>
      <c r="E68" s="16">
        <f>'Bill Items'!I2452</f>
        <v>0</v>
      </c>
    </row>
    <row r="69" spans="1:5" x14ac:dyDescent="0.2">
      <c r="A69" s="8" t="s">
        <v>2072</v>
      </c>
      <c r="E69" s="15"/>
    </row>
    <row r="70" spans="1:5" x14ac:dyDescent="0.2">
      <c r="A70" s="8"/>
      <c r="C70" t="s">
        <v>1464</v>
      </c>
      <c r="E70" s="16">
        <f>'Bill Items'!I2521</f>
        <v>0</v>
      </c>
    </row>
    <row r="71" spans="1:5" x14ac:dyDescent="0.2">
      <c r="A71" s="8" t="s">
        <v>2073</v>
      </c>
      <c r="E71" s="15"/>
    </row>
    <row r="72" spans="1:5" x14ac:dyDescent="0.2">
      <c r="A72" s="8"/>
      <c r="C72" t="s">
        <v>1486</v>
      </c>
      <c r="E72" s="16">
        <f>'Bill Items'!I2561</f>
        <v>0</v>
      </c>
    </row>
    <row r="73" spans="1:5" x14ac:dyDescent="0.2">
      <c r="A73" s="8" t="s">
        <v>2074</v>
      </c>
      <c r="E73" s="15"/>
    </row>
    <row r="74" spans="1:5" x14ac:dyDescent="0.2">
      <c r="A74" s="8"/>
      <c r="C74" t="s">
        <v>1496</v>
      </c>
      <c r="E74" s="16">
        <f>'Bill Items'!I2605</f>
        <v>0</v>
      </c>
    </row>
    <row r="75" spans="1:5" x14ac:dyDescent="0.2">
      <c r="A75" s="8" t="s">
        <v>2075</v>
      </c>
      <c r="E75" s="15"/>
    </row>
    <row r="76" spans="1:5" x14ac:dyDescent="0.2">
      <c r="A76" s="8"/>
      <c r="C76" t="s">
        <v>1512</v>
      </c>
      <c r="E76" s="16">
        <f>'Bill Items'!I2628</f>
        <v>0</v>
      </c>
    </row>
    <row r="77" spans="1:5" x14ac:dyDescent="0.2">
      <c r="A77" s="8" t="s">
        <v>2076</v>
      </c>
      <c r="E77" s="15"/>
    </row>
    <row r="78" spans="1:5" x14ac:dyDescent="0.2">
      <c r="A78" s="8"/>
      <c r="C78" t="s">
        <v>1518</v>
      </c>
      <c r="E78" s="16">
        <f>'Bill Items'!I2730</f>
        <v>0</v>
      </c>
    </row>
    <row r="79" spans="1:5" x14ac:dyDescent="0.2">
      <c r="A79" s="8" t="s">
        <v>2077</v>
      </c>
      <c r="E79" s="15"/>
    </row>
    <row r="80" spans="1:5" x14ac:dyDescent="0.2">
      <c r="A80" s="8"/>
      <c r="C80" t="s">
        <v>1554</v>
      </c>
      <c r="E80" s="16">
        <f>'Bill Items'!I2775</f>
        <v>0</v>
      </c>
    </row>
    <row r="81" spans="1:5" x14ac:dyDescent="0.2">
      <c r="A81" s="8" t="s">
        <v>2078</v>
      </c>
      <c r="E81" s="15"/>
    </row>
    <row r="82" spans="1:5" x14ac:dyDescent="0.2">
      <c r="A82" s="8"/>
      <c r="C82" t="s">
        <v>1563</v>
      </c>
      <c r="E82" s="16">
        <f>'Bill Items'!I2841</f>
        <v>0</v>
      </c>
    </row>
    <row r="83" spans="1:5" x14ac:dyDescent="0.2">
      <c r="A83" s="8" t="s">
        <v>2079</v>
      </c>
      <c r="E83" s="15"/>
    </row>
    <row r="84" spans="1:5" x14ac:dyDescent="0.2">
      <c r="A84" s="8"/>
      <c r="C84" t="s">
        <v>1589</v>
      </c>
      <c r="E84" s="16">
        <f>'Bill Items'!I2863</f>
        <v>0</v>
      </c>
    </row>
    <row r="85" spans="1:5" x14ac:dyDescent="0.2">
      <c r="A85" s="8" t="s">
        <v>2080</v>
      </c>
      <c r="E85" s="15"/>
    </row>
    <row r="86" spans="1:5" x14ac:dyDescent="0.2">
      <c r="A86" s="8"/>
      <c r="C86" t="s">
        <v>1595</v>
      </c>
      <c r="E86" s="16">
        <f>'Bill Items'!I2916</f>
        <v>0</v>
      </c>
    </row>
    <row r="87" spans="1:5" x14ac:dyDescent="0.2">
      <c r="A87" s="8" t="s">
        <v>2081</v>
      </c>
      <c r="E87" s="15"/>
    </row>
    <row r="88" spans="1:5" x14ac:dyDescent="0.2">
      <c r="A88" s="8"/>
      <c r="C88" t="s">
        <v>1609</v>
      </c>
      <c r="E88" s="16">
        <f>'Bill Items'!I2937</f>
        <v>0</v>
      </c>
    </row>
    <row r="89" spans="1:5" x14ac:dyDescent="0.2">
      <c r="A89" s="8" t="s">
        <v>2082</v>
      </c>
      <c r="E89" s="15"/>
    </row>
    <row r="90" spans="1:5" x14ac:dyDescent="0.2">
      <c r="A90" s="8"/>
      <c r="C90" t="s">
        <v>1614</v>
      </c>
      <c r="E90" s="16">
        <f>'Bill Items'!I3007</f>
        <v>0</v>
      </c>
    </row>
    <row r="91" spans="1:5" x14ac:dyDescent="0.2">
      <c r="A91" s="8" t="s">
        <v>2083</v>
      </c>
      <c r="E91" s="15"/>
    </row>
    <row r="92" spans="1:5" x14ac:dyDescent="0.2">
      <c r="A92" s="8"/>
      <c r="C92" t="s">
        <v>1638</v>
      </c>
      <c r="E92" s="16">
        <f>'Bill Items'!I3036</f>
        <v>0</v>
      </c>
    </row>
    <row r="93" spans="1:5" x14ac:dyDescent="0.2">
      <c r="A93" s="8" t="s">
        <v>2084</v>
      </c>
      <c r="E93" s="15"/>
    </row>
    <row r="94" spans="1:5" x14ac:dyDescent="0.2">
      <c r="A94" s="8"/>
      <c r="C94" t="s">
        <v>1646</v>
      </c>
      <c r="E94" s="16">
        <f>'Bill Items'!I3164</f>
        <v>0</v>
      </c>
    </row>
    <row r="95" spans="1:5" x14ac:dyDescent="0.2">
      <c r="A95" s="8" t="s">
        <v>2085</v>
      </c>
      <c r="E95" s="15"/>
    </row>
    <row r="96" spans="1:5" x14ac:dyDescent="0.2">
      <c r="A96" s="8"/>
      <c r="C96" t="s">
        <v>1681</v>
      </c>
      <c r="E96" s="16">
        <f>'Bill Items'!I3220</f>
        <v>0</v>
      </c>
    </row>
    <row r="97" spans="1:5" x14ac:dyDescent="0.2">
      <c r="A97" s="8" t="s">
        <v>2086</v>
      </c>
      <c r="E97" s="15"/>
    </row>
    <row r="98" spans="1:5" x14ac:dyDescent="0.2">
      <c r="A98" s="8"/>
      <c r="C98" t="s">
        <v>1697</v>
      </c>
      <c r="E98" s="16">
        <f>'Bill Items'!I3258</f>
        <v>0</v>
      </c>
    </row>
    <row r="99" spans="1:5" x14ac:dyDescent="0.2">
      <c r="A99" s="8" t="s">
        <v>2087</v>
      </c>
      <c r="E99" s="15"/>
    </row>
    <row r="100" spans="1:5" x14ac:dyDescent="0.2">
      <c r="A100" s="8"/>
      <c r="C100" t="s">
        <v>1708</v>
      </c>
      <c r="E100" s="16">
        <f>'Bill Items'!I3294</f>
        <v>0</v>
      </c>
    </row>
    <row r="101" spans="1:5" x14ac:dyDescent="0.2">
      <c r="A101" s="8" t="s">
        <v>2088</v>
      </c>
      <c r="E101" s="15"/>
    </row>
    <row r="102" spans="1:5" x14ac:dyDescent="0.2">
      <c r="A102" s="8"/>
      <c r="C102" t="s">
        <v>1722</v>
      </c>
      <c r="E102" s="16">
        <f>'Bill Items'!I3329</f>
        <v>0</v>
      </c>
    </row>
    <row r="103" spans="1:5" x14ac:dyDescent="0.2">
      <c r="A103" s="8" t="s">
        <v>2089</v>
      </c>
      <c r="E103" s="15"/>
    </row>
    <row r="104" spans="1:5" x14ac:dyDescent="0.2">
      <c r="A104" s="8"/>
      <c r="C104" t="s">
        <v>1735</v>
      </c>
      <c r="E104" s="16">
        <f>'Bill Items'!I3372</f>
        <v>0</v>
      </c>
    </row>
    <row r="105" spans="1:5" x14ac:dyDescent="0.2">
      <c r="A105" s="8" t="s">
        <v>2090</v>
      </c>
      <c r="E105" s="15"/>
    </row>
    <row r="106" spans="1:5" x14ac:dyDescent="0.2">
      <c r="A106" s="8"/>
      <c r="C106" t="s">
        <v>1749</v>
      </c>
      <c r="E106" s="16">
        <f>'Bill Items'!I3393</f>
        <v>0</v>
      </c>
    </row>
    <row r="107" spans="1:5" x14ac:dyDescent="0.2">
      <c r="A107" s="8" t="s">
        <v>2091</v>
      </c>
      <c r="E107" s="15"/>
    </row>
    <row r="108" spans="1:5" x14ac:dyDescent="0.2">
      <c r="A108" s="8"/>
      <c r="C108" t="s">
        <v>1754</v>
      </c>
      <c r="E108" s="16">
        <f>'Bill Items'!I3444</f>
        <v>0</v>
      </c>
    </row>
    <row r="109" spans="1:5" x14ac:dyDescent="0.2">
      <c r="A109" s="8" t="s">
        <v>2092</v>
      </c>
      <c r="E109" s="15"/>
    </row>
    <row r="110" spans="1:5" x14ac:dyDescent="0.2">
      <c r="A110" s="8"/>
      <c r="C110" t="s">
        <v>1769</v>
      </c>
      <c r="E110" s="16">
        <f>'Bill Items'!I3495</f>
        <v>0</v>
      </c>
    </row>
    <row r="111" spans="1:5" x14ac:dyDescent="0.2">
      <c r="A111" s="8" t="s">
        <v>2093</v>
      </c>
      <c r="E111" s="15"/>
    </row>
    <row r="112" spans="1:5" x14ac:dyDescent="0.2">
      <c r="A112" s="8"/>
      <c r="C112" t="s">
        <v>1783</v>
      </c>
      <c r="E112" s="16">
        <f>'Bill Items'!I3538</f>
        <v>0</v>
      </c>
    </row>
    <row r="113" spans="1:5" x14ac:dyDescent="0.2">
      <c r="A113" s="8" t="s">
        <v>2094</v>
      </c>
      <c r="E113" s="15"/>
    </row>
    <row r="114" spans="1:5" x14ac:dyDescent="0.2">
      <c r="A114" s="8"/>
      <c r="C114" t="s">
        <v>1791</v>
      </c>
      <c r="E114" s="16">
        <f>'Bill Items'!I3577</f>
        <v>0</v>
      </c>
    </row>
    <row r="115" spans="1:5" x14ac:dyDescent="0.2">
      <c r="A115" s="8" t="s">
        <v>2095</v>
      </c>
      <c r="E115" s="15"/>
    </row>
    <row r="116" spans="1:5" x14ac:dyDescent="0.2">
      <c r="A116" s="8"/>
      <c r="C116" t="s">
        <v>1801</v>
      </c>
      <c r="E116" s="16">
        <f>'Bill Items'!I3614</f>
        <v>0</v>
      </c>
    </row>
    <row r="117" spans="1:5" x14ac:dyDescent="0.2">
      <c r="A117" s="8" t="s">
        <v>2096</v>
      </c>
      <c r="E117" s="15"/>
    </row>
    <row r="118" spans="1:5" x14ac:dyDescent="0.2">
      <c r="A118" s="8"/>
      <c r="C118" t="s">
        <v>1811</v>
      </c>
      <c r="E118" s="16">
        <f>'Bill Items'!I3653</f>
        <v>0</v>
      </c>
    </row>
    <row r="119" spans="1:5" x14ac:dyDescent="0.2">
      <c r="A119" s="8" t="s">
        <v>2097</v>
      </c>
      <c r="E119" s="15"/>
    </row>
    <row r="120" spans="1:5" x14ac:dyDescent="0.2">
      <c r="A120" s="8"/>
      <c r="C120" t="s">
        <v>1822</v>
      </c>
      <c r="E120" s="16">
        <f>'Bill Items'!I3693</f>
        <v>0</v>
      </c>
    </row>
    <row r="121" spans="1:5" x14ac:dyDescent="0.2">
      <c r="A121" s="8" t="s">
        <v>2098</v>
      </c>
      <c r="E121" s="15"/>
    </row>
    <row r="122" spans="1:5" x14ac:dyDescent="0.2">
      <c r="A122" s="8"/>
      <c r="C122" t="s">
        <v>1833</v>
      </c>
      <c r="E122" s="16">
        <f>'Bill Items'!I3714</f>
        <v>0</v>
      </c>
    </row>
    <row r="123" spans="1:5" x14ac:dyDescent="0.2">
      <c r="A123" s="8" t="s">
        <v>2099</v>
      </c>
      <c r="E123" s="15"/>
    </row>
    <row r="124" spans="1:5" x14ac:dyDescent="0.2">
      <c r="A124" s="8"/>
      <c r="C124" t="s">
        <v>1838</v>
      </c>
      <c r="E124" s="16">
        <f>'Bill Items'!I3736</f>
        <v>0</v>
      </c>
    </row>
    <row r="125" spans="1:5" x14ac:dyDescent="0.2">
      <c r="A125" s="8" t="s">
        <v>2100</v>
      </c>
      <c r="E125" s="15"/>
    </row>
    <row r="126" spans="1:5" x14ac:dyDescent="0.2">
      <c r="A126" s="8"/>
      <c r="C126" t="s">
        <v>1843</v>
      </c>
      <c r="E126" s="16">
        <f>'Bill Items'!I3775</f>
        <v>0</v>
      </c>
    </row>
    <row r="127" spans="1:5" x14ac:dyDescent="0.2">
      <c r="A127" s="8" t="s">
        <v>2101</v>
      </c>
      <c r="E127" s="15"/>
    </row>
    <row r="128" spans="1:5" x14ac:dyDescent="0.2">
      <c r="A128" s="8"/>
      <c r="C128" t="s">
        <v>1853</v>
      </c>
      <c r="E128" s="16">
        <f>'Bill Items'!I3815</f>
        <v>0</v>
      </c>
    </row>
    <row r="129" spans="1:5" x14ac:dyDescent="0.2">
      <c r="A129" s="8" t="s">
        <v>2102</v>
      </c>
      <c r="E129" s="15"/>
    </row>
    <row r="130" spans="1:5" x14ac:dyDescent="0.2">
      <c r="A130" s="8"/>
      <c r="C130" t="s">
        <v>1861</v>
      </c>
      <c r="E130" s="16">
        <f>'Bill Items'!I3836</f>
        <v>0</v>
      </c>
    </row>
    <row r="131" spans="1:5" x14ac:dyDescent="0.2">
      <c r="A131" s="8" t="s">
        <v>2103</v>
      </c>
      <c r="E131" s="15"/>
    </row>
    <row r="132" spans="1:5" x14ac:dyDescent="0.2">
      <c r="A132" s="8"/>
      <c r="C132" t="s">
        <v>1866</v>
      </c>
      <c r="E132" s="16">
        <f>'Bill Items'!I3858</f>
        <v>0</v>
      </c>
    </row>
    <row r="133" spans="1:5" x14ac:dyDescent="0.2">
      <c r="A133" s="8" t="s">
        <v>2104</v>
      </c>
      <c r="E133" s="15"/>
    </row>
    <row r="134" spans="1:5" x14ac:dyDescent="0.2">
      <c r="A134" s="8"/>
      <c r="C134" t="s">
        <v>1871</v>
      </c>
      <c r="E134" s="16">
        <f>'Bill Items'!I3902</f>
        <v>0</v>
      </c>
    </row>
    <row r="135" spans="1:5" x14ac:dyDescent="0.2">
      <c r="A135" s="8" t="s">
        <v>2105</v>
      </c>
      <c r="E135" s="15"/>
    </row>
    <row r="136" spans="1:5" x14ac:dyDescent="0.2">
      <c r="A136" s="8"/>
      <c r="C136" t="s">
        <v>1895</v>
      </c>
      <c r="E136" s="16">
        <f>'Bill Items'!I3923</f>
        <v>0</v>
      </c>
    </row>
    <row r="137" spans="1:5" x14ac:dyDescent="0.2">
      <c r="A137" s="8" t="s">
        <v>2106</v>
      </c>
      <c r="E137" s="15"/>
    </row>
    <row r="138" spans="1:5" x14ac:dyDescent="0.2">
      <c r="A138" s="8"/>
      <c r="C138" t="s">
        <v>1900</v>
      </c>
      <c r="E138" s="16">
        <f>'Bill Items'!I3944</f>
        <v>0</v>
      </c>
    </row>
    <row r="139" spans="1:5" x14ac:dyDescent="0.2">
      <c r="A139" s="8" t="s">
        <v>2107</v>
      </c>
      <c r="E139" s="15"/>
    </row>
    <row r="140" spans="1:5" x14ac:dyDescent="0.2">
      <c r="A140" s="8"/>
      <c r="C140" t="s">
        <v>1905</v>
      </c>
      <c r="E140" s="16">
        <f>'Bill Items'!I3980</f>
        <v>0</v>
      </c>
    </row>
    <row r="141" spans="1:5" x14ac:dyDescent="0.2">
      <c r="A141" s="8" t="s">
        <v>2108</v>
      </c>
      <c r="E141" s="15"/>
    </row>
    <row r="142" spans="1:5" x14ac:dyDescent="0.2">
      <c r="A142" s="8"/>
      <c r="C142" t="s">
        <v>1919</v>
      </c>
      <c r="E142" s="16">
        <f>'Bill Items'!I4003</f>
        <v>0</v>
      </c>
    </row>
    <row r="143" spans="1:5" x14ac:dyDescent="0.2">
      <c r="A143" s="8" t="s">
        <v>2109</v>
      </c>
      <c r="E143" s="15"/>
    </row>
    <row r="144" spans="1:5" x14ac:dyDescent="0.2">
      <c r="A144" s="8"/>
      <c r="C144" t="s">
        <v>1927</v>
      </c>
      <c r="E144" s="16">
        <f>'Bill Items'!I4029</f>
        <v>0</v>
      </c>
    </row>
    <row r="145" spans="1:5" x14ac:dyDescent="0.2">
      <c r="A145" s="8" t="s">
        <v>2110</v>
      </c>
      <c r="E145" s="15"/>
    </row>
    <row r="146" spans="1:5" x14ac:dyDescent="0.2">
      <c r="A146" s="8"/>
      <c r="C146" t="s">
        <v>1938</v>
      </c>
      <c r="E146" s="16">
        <f>'Bill Items'!I4067</f>
        <v>0</v>
      </c>
    </row>
    <row r="147" spans="1:5" x14ac:dyDescent="0.2">
      <c r="A147" s="8" t="s">
        <v>2111</v>
      </c>
      <c r="E147" s="15"/>
    </row>
    <row r="148" spans="1:5" x14ac:dyDescent="0.2">
      <c r="A148" s="8"/>
      <c r="C148" t="s">
        <v>1961</v>
      </c>
      <c r="E148" s="16">
        <f>'Bill Items'!I4095</f>
        <v>0</v>
      </c>
    </row>
    <row r="149" spans="1:5" x14ac:dyDescent="0.2">
      <c r="A149" s="8" t="s">
        <v>2112</v>
      </c>
      <c r="E149" s="15"/>
    </row>
    <row r="150" spans="1:5" x14ac:dyDescent="0.2">
      <c r="A150" s="8"/>
      <c r="C150" t="s">
        <v>1974</v>
      </c>
      <c r="E150" s="16">
        <f>'Bill Items'!I4160</f>
        <v>0</v>
      </c>
    </row>
    <row r="151" spans="1:5" x14ac:dyDescent="0.2">
      <c r="A151" s="20"/>
      <c r="B151" s="18"/>
      <c r="C151" s="18"/>
      <c r="D151" s="18"/>
      <c r="E151" s="17"/>
    </row>
    <row r="152" spans="1:5" x14ac:dyDescent="0.2">
      <c r="D152" s="5" t="s">
        <v>95</v>
      </c>
      <c r="E152" s="13">
        <f>SUM(E9:E150)</f>
        <v>0</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8:E81"/>
  <sheetViews>
    <sheetView workbookViewId="0"/>
  </sheetViews>
  <sheetFormatPr defaultColWidth="11.42578125" defaultRowHeight="14.25" x14ac:dyDescent="0.2"/>
  <cols>
    <col min="2" max="2" width="86" customWidth="1"/>
    <col min="5" max="5" width="19.5703125" customWidth="1"/>
    <col min="9" max="9" width="19.5703125" customWidth="1"/>
  </cols>
  <sheetData>
    <row r="8" spans="1:5" ht="15" x14ac:dyDescent="0.25">
      <c r="A8" s="19" t="s">
        <v>2113</v>
      </c>
      <c r="B8" s="14"/>
      <c r="C8" s="14"/>
      <c r="D8" s="14"/>
      <c r="E8" s="3" t="s">
        <v>90</v>
      </c>
    </row>
    <row r="9" spans="1:5" x14ac:dyDescent="0.2">
      <c r="A9" s="8" t="s">
        <v>2042</v>
      </c>
      <c r="B9" t="s">
        <v>1</v>
      </c>
      <c r="E9" s="16">
        <f>'Bill Items'!I85</f>
        <v>0</v>
      </c>
    </row>
    <row r="10" spans="1:5" x14ac:dyDescent="0.2">
      <c r="A10" s="8" t="s">
        <v>2043</v>
      </c>
      <c r="B10" t="s">
        <v>97</v>
      </c>
      <c r="E10" s="16">
        <f>'Bill Items'!I257</f>
        <v>0</v>
      </c>
    </row>
    <row r="11" spans="1:5" x14ac:dyDescent="0.2">
      <c r="A11" s="8" t="s">
        <v>2044</v>
      </c>
      <c r="B11" t="s">
        <v>229</v>
      </c>
      <c r="E11" s="16">
        <f>'Bill Items'!I353</f>
        <v>0</v>
      </c>
    </row>
    <row r="12" spans="1:5" x14ac:dyDescent="0.2">
      <c r="A12" s="8" t="s">
        <v>2045</v>
      </c>
      <c r="B12" t="s">
        <v>299</v>
      </c>
      <c r="E12" s="16">
        <f>'Bill Items'!I418</f>
        <v>0</v>
      </c>
    </row>
    <row r="13" spans="1:5" x14ac:dyDescent="0.2">
      <c r="A13" s="8" t="s">
        <v>2046</v>
      </c>
      <c r="B13" t="s">
        <v>343</v>
      </c>
      <c r="E13" s="16">
        <f>'Bill Items'!I605</f>
        <v>0</v>
      </c>
    </row>
    <row r="14" spans="1:5" x14ac:dyDescent="0.2">
      <c r="A14" s="8" t="s">
        <v>2047</v>
      </c>
      <c r="B14" t="s">
        <v>463</v>
      </c>
      <c r="E14" s="16">
        <f>'Bill Items'!I657</f>
        <v>0</v>
      </c>
    </row>
    <row r="15" spans="1:5" x14ac:dyDescent="0.2">
      <c r="A15" s="8" t="s">
        <v>2048</v>
      </c>
      <c r="B15" t="s">
        <v>495</v>
      </c>
      <c r="E15" s="16">
        <f>'Bill Items'!I840</f>
        <v>0</v>
      </c>
    </row>
    <row r="16" spans="1:5" x14ac:dyDescent="0.2">
      <c r="A16" s="8" t="s">
        <v>2049</v>
      </c>
      <c r="B16" t="s">
        <v>617</v>
      </c>
      <c r="E16" s="16">
        <f>'Bill Items'!I938</f>
        <v>0</v>
      </c>
    </row>
    <row r="17" spans="1:5" x14ac:dyDescent="0.2">
      <c r="A17" s="8" t="s">
        <v>2050</v>
      </c>
      <c r="B17" t="s">
        <v>684</v>
      </c>
      <c r="E17" s="16">
        <f>'Bill Items'!I1164</f>
        <v>0</v>
      </c>
    </row>
    <row r="18" spans="1:5" x14ac:dyDescent="0.2">
      <c r="A18" s="8" t="s">
        <v>2051</v>
      </c>
      <c r="B18" t="s">
        <v>807</v>
      </c>
      <c r="E18" s="16">
        <f>'Bill Items'!I1242</f>
        <v>0</v>
      </c>
    </row>
    <row r="19" spans="1:5" x14ac:dyDescent="0.2">
      <c r="A19" s="8" t="s">
        <v>2052</v>
      </c>
      <c r="B19" t="s">
        <v>861</v>
      </c>
      <c r="E19" s="16">
        <f>'Bill Items'!I1341</f>
        <v>0</v>
      </c>
    </row>
    <row r="20" spans="1:5" x14ac:dyDescent="0.2">
      <c r="A20" s="8" t="s">
        <v>2053</v>
      </c>
      <c r="B20" t="s">
        <v>920</v>
      </c>
      <c r="E20" s="16">
        <f>'Bill Items'!I1440</f>
        <v>0</v>
      </c>
    </row>
    <row r="21" spans="1:5" x14ac:dyDescent="0.2">
      <c r="A21" s="8" t="s">
        <v>2054</v>
      </c>
      <c r="B21" t="s">
        <v>982</v>
      </c>
      <c r="E21" s="16">
        <f>'Bill Items'!I1512</f>
        <v>0</v>
      </c>
    </row>
    <row r="22" spans="1:5" x14ac:dyDescent="0.2">
      <c r="A22" s="8" t="s">
        <v>2055</v>
      </c>
      <c r="B22" t="s">
        <v>1023</v>
      </c>
      <c r="E22" s="16">
        <f>'Bill Items'!I1581</f>
        <v>0</v>
      </c>
    </row>
    <row r="23" spans="1:5" x14ac:dyDescent="0.2">
      <c r="A23" s="8" t="s">
        <v>2056</v>
      </c>
      <c r="B23" t="s">
        <v>1075</v>
      </c>
      <c r="E23" s="16">
        <f>'Bill Items'!I1640</f>
        <v>0</v>
      </c>
    </row>
    <row r="24" spans="1:5" x14ac:dyDescent="0.2">
      <c r="A24" s="8" t="s">
        <v>2057</v>
      </c>
      <c r="B24" t="s">
        <v>1114</v>
      </c>
      <c r="E24" s="16">
        <f>'Bill Items'!I1701</f>
        <v>0</v>
      </c>
    </row>
    <row r="25" spans="1:5" x14ac:dyDescent="0.2">
      <c r="A25" s="8" t="s">
        <v>2058</v>
      </c>
      <c r="B25" t="s">
        <v>1147</v>
      </c>
      <c r="E25" s="16">
        <f>'Bill Items'!I1818</f>
        <v>0</v>
      </c>
    </row>
    <row r="26" spans="1:5" x14ac:dyDescent="0.2">
      <c r="A26" s="8" t="s">
        <v>2059</v>
      </c>
      <c r="B26" t="s">
        <v>1216</v>
      </c>
      <c r="E26" s="16">
        <f>'Bill Items'!I1855</f>
        <v>0</v>
      </c>
    </row>
    <row r="27" spans="1:5" x14ac:dyDescent="0.2">
      <c r="A27" s="8" t="s">
        <v>2060</v>
      </c>
      <c r="B27" t="s">
        <v>1230</v>
      </c>
      <c r="E27" s="16">
        <f>'Bill Items'!I1972</f>
        <v>0</v>
      </c>
    </row>
    <row r="28" spans="1:5" x14ac:dyDescent="0.2">
      <c r="A28" s="8" t="s">
        <v>2061</v>
      </c>
      <c r="B28" t="s">
        <v>1296</v>
      </c>
      <c r="E28" s="16">
        <f>'Bill Items'!I1995</f>
        <v>0</v>
      </c>
    </row>
    <row r="29" spans="1:5" x14ac:dyDescent="0.2">
      <c r="A29" s="8" t="s">
        <v>2062</v>
      </c>
      <c r="B29" t="s">
        <v>1302</v>
      </c>
      <c r="E29" s="16">
        <f>'Bill Items'!I2016</f>
        <v>0</v>
      </c>
    </row>
    <row r="30" spans="1:5" x14ac:dyDescent="0.2">
      <c r="A30" s="8" t="s">
        <v>2063</v>
      </c>
      <c r="B30" t="s">
        <v>1308</v>
      </c>
      <c r="E30" s="16">
        <f>'Bill Items'!I2051</f>
        <v>0</v>
      </c>
    </row>
    <row r="31" spans="1:5" x14ac:dyDescent="0.2">
      <c r="A31" s="8" t="s">
        <v>2064</v>
      </c>
      <c r="B31" t="s">
        <v>1316</v>
      </c>
      <c r="E31" s="16">
        <f>'Bill Items'!I2120</f>
        <v>0</v>
      </c>
    </row>
    <row r="32" spans="1:5" x14ac:dyDescent="0.2">
      <c r="A32" s="8" t="s">
        <v>2065</v>
      </c>
      <c r="B32" t="s">
        <v>1338</v>
      </c>
      <c r="E32" s="16">
        <f>'Bill Items'!I2173</f>
        <v>0</v>
      </c>
    </row>
    <row r="33" spans="1:5" x14ac:dyDescent="0.2">
      <c r="A33" s="8" t="s">
        <v>2066</v>
      </c>
      <c r="B33" t="s">
        <v>1358</v>
      </c>
      <c r="E33" s="16">
        <f>'Bill Items'!I2194</f>
        <v>0</v>
      </c>
    </row>
    <row r="34" spans="1:5" x14ac:dyDescent="0.2">
      <c r="A34" s="8" t="s">
        <v>2067</v>
      </c>
      <c r="B34" t="s">
        <v>1363</v>
      </c>
      <c r="E34" s="16">
        <f>'Bill Items'!I2232</f>
        <v>0</v>
      </c>
    </row>
    <row r="35" spans="1:5" x14ac:dyDescent="0.2">
      <c r="A35" s="8" t="s">
        <v>2068</v>
      </c>
      <c r="B35" t="s">
        <v>1376</v>
      </c>
      <c r="E35" s="16">
        <f>'Bill Items'!I2313</f>
        <v>0</v>
      </c>
    </row>
    <row r="36" spans="1:5" x14ac:dyDescent="0.2">
      <c r="A36" s="8" t="s">
        <v>2069</v>
      </c>
      <c r="B36" t="s">
        <v>1402</v>
      </c>
      <c r="E36" s="16">
        <f>'Bill Items'!I2355</f>
        <v>0</v>
      </c>
    </row>
    <row r="37" spans="1:5" x14ac:dyDescent="0.2">
      <c r="A37" s="8" t="s">
        <v>2070</v>
      </c>
      <c r="B37" t="s">
        <v>1413</v>
      </c>
      <c r="E37" s="16">
        <f>'Bill Items'!I2427</f>
        <v>0</v>
      </c>
    </row>
    <row r="38" spans="1:5" x14ac:dyDescent="0.2">
      <c r="A38" s="8" t="s">
        <v>2071</v>
      </c>
      <c r="B38" t="s">
        <v>1459</v>
      </c>
      <c r="E38" s="16">
        <f>'Bill Items'!I2452</f>
        <v>0</v>
      </c>
    </row>
    <row r="39" spans="1:5" x14ac:dyDescent="0.2">
      <c r="A39" s="8" t="s">
        <v>2072</v>
      </c>
      <c r="B39" t="s">
        <v>1464</v>
      </c>
      <c r="E39" s="16">
        <f>'Bill Items'!I2521</f>
        <v>0</v>
      </c>
    </row>
    <row r="40" spans="1:5" x14ac:dyDescent="0.2">
      <c r="A40" s="8" t="s">
        <v>2073</v>
      </c>
      <c r="B40" t="s">
        <v>1486</v>
      </c>
      <c r="E40" s="16">
        <f>'Bill Items'!I2561</f>
        <v>0</v>
      </c>
    </row>
    <row r="41" spans="1:5" x14ac:dyDescent="0.2">
      <c r="A41" s="8" t="s">
        <v>2074</v>
      </c>
      <c r="B41" t="s">
        <v>1496</v>
      </c>
      <c r="E41" s="16">
        <f>'Bill Items'!I2605</f>
        <v>0</v>
      </c>
    </row>
    <row r="42" spans="1:5" x14ac:dyDescent="0.2">
      <c r="A42" s="8" t="s">
        <v>2075</v>
      </c>
      <c r="B42" t="s">
        <v>1512</v>
      </c>
      <c r="E42" s="16">
        <f>'Bill Items'!I2628</f>
        <v>0</v>
      </c>
    </row>
    <row r="43" spans="1:5" x14ac:dyDescent="0.2">
      <c r="A43" s="8" t="s">
        <v>2076</v>
      </c>
      <c r="B43" t="s">
        <v>1518</v>
      </c>
      <c r="E43" s="16">
        <f>'Bill Items'!I2730</f>
        <v>0</v>
      </c>
    </row>
    <row r="44" spans="1:5" x14ac:dyDescent="0.2">
      <c r="A44" s="8" t="s">
        <v>2077</v>
      </c>
      <c r="B44" t="s">
        <v>1554</v>
      </c>
      <c r="E44" s="16">
        <f>'Bill Items'!I2775</f>
        <v>0</v>
      </c>
    </row>
    <row r="45" spans="1:5" x14ac:dyDescent="0.2">
      <c r="A45" s="8" t="s">
        <v>2078</v>
      </c>
      <c r="B45" t="s">
        <v>1563</v>
      </c>
      <c r="E45" s="16">
        <f>'Bill Items'!I2841</f>
        <v>0</v>
      </c>
    </row>
    <row r="46" spans="1:5" x14ac:dyDescent="0.2">
      <c r="A46" s="8" t="s">
        <v>2079</v>
      </c>
      <c r="B46" t="s">
        <v>1589</v>
      </c>
      <c r="E46" s="16">
        <f>'Bill Items'!I2863</f>
        <v>0</v>
      </c>
    </row>
    <row r="47" spans="1:5" x14ac:dyDescent="0.2">
      <c r="A47" s="8" t="s">
        <v>2080</v>
      </c>
      <c r="B47" t="s">
        <v>1595</v>
      </c>
      <c r="E47" s="16">
        <f>'Bill Items'!I2916</f>
        <v>0</v>
      </c>
    </row>
    <row r="48" spans="1:5" x14ac:dyDescent="0.2">
      <c r="A48" s="8" t="s">
        <v>2081</v>
      </c>
      <c r="B48" t="s">
        <v>1609</v>
      </c>
      <c r="E48" s="16">
        <f>'Bill Items'!I2937</f>
        <v>0</v>
      </c>
    </row>
    <row r="49" spans="1:5" x14ac:dyDescent="0.2">
      <c r="A49" s="8" t="s">
        <v>2082</v>
      </c>
      <c r="B49" t="s">
        <v>1614</v>
      </c>
      <c r="E49" s="16">
        <f>'Bill Items'!I3007</f>
        <v>0</v>
      </c>
    </row>
    <row r="50" spans="1:5" x14ac:dyDescent="0.2">
      <c r="A50" s="8" t="s">
        <v>2083</v>
      </c>
      <c r="B50" t="s">
        <v>1638</v>
      </c>
      <c r="E50" s="16">
        <f>'Bill Items'!I3036</f>
        <v>0</v>
      </c>
    </row>
    <row r="51" spans="1:5" x14ac:dyDescent="0.2">
      <c r="A51" s="8" t="s">
        <v>2084</v>
      </c>
      <c r="B51" t="s">
        <v>1646</v>
      </c>
      <c r="E51" s="16">
        <f>'Bill Items'!I3164</f>
        <v>0</v>
      </c>
    </row>
    <row r="52" spans="1:5" x14ac:dyDescent="0.2">
      <c r="A52" s="8" t="s">
        <v>2085</v>
      </c>
      <c r="B52" t="s">
        <v>1681</v>
      </c>
      <c r="E52" s="16">
        <f>'Bill Items'!I3220</f>
        <v>0</v>
      </c>
    </row>
    <row r="53" spans="1:5" x14ac:dyDescent="0.2">
      <c r="A53" s="8" t="s">
        <v>2086</v>
      </c>
      <c r="B53" t="s">
        <v>1697</v>
      </c>
      <c r="E53" s="16">
        <f>'Bill Items'!I3258</f>
        <v>0</v>
      </c>
    </row>
    <row r="54" spans="1:5" x14ac:dyDescent="0.2">
      <c r="A54" s="8" t="s">
        <v>2087</v>
      </c>
      <c r="B54" t="s">
        <v>1708</v>
      </c>
      <c r="E54" s="16">
        <f>'Bill Items'!I3294</f>
        <v>0</v>
      </c>
    </row>
    <row r="55" spans="1:5" x14ac:dyDescent="0.2">
      <c r="A55" s="8" t="s">
        <v>2088</v>
      </c>
      <c r="B55" t="s">
        <v>1722</v>
      </c>
      <c r="E55" s="16">
        <f>'Bill Items'!I3329</f>
        <v>0</v>
      </c>
    </row>
    <row r="56" spans="1:5" x14ac:dyDescent="0.2">
      <c r="A56" s="8" t="s">
        <v>2089</v>
      </c>
      <c r="B56" t="s">
        <v>1735</v>
      </c>
      <c r="E56" s="16">
        <f>'Bill Items'!I3372</f>
        <v>0</v>
      </c>
    </row>
    <row r="57" spans="1:5" x14ac:dyDescent="0.2">
      <c r="A57" s="8" t="s">
        <v>2090</v>
      </c>
      <c r="B57" t="s">
        <v>1749</v>
      </c>
      <c r="E57" s="16">
        <f>'Bill Items'!I3393</f>
        <v>0</v>
      </c>
    </row>
    <row r="58" spans="1:5" x14ac:dyDescent="0.2">
      <c r="A58" s="8" t="s">
        <v>2091</v>
      </c>
      <c r="B58" t="s">
        <v>1754</v>
      </c>
      <c r="E58" s="16">
        <f>'Bill Items'!I3444</f>
        <v>0</v>
      </c>
    </row>
    <row r="59" spans="1:5" x14ac:dyDescent="0.2">
      <c r="A59" s="8" t="s">
        <v>2092</v>
      </c>
      <c r="B59" t="s">
        <v>1769</v>
      </c>
      <c r="E59" s="16">
        <f>'Bill Items'!I3495</f>
        <v>0</v>
      </c>
    </row>
    <row r="60" spans="1:5" x14ac:dyDescent="0.2">
      <c r="A60" s="8" t="s">
        <v>2093</v>
      </c>
      <c r="B60" t="s">
        <v>1783</v>
      </c>
      <c r="E60" s="16">
        <f>'Bill Items'!I3538</f>
        <v>0</v>
      </c>
    </row>
    <row r="61" spans="1:5" x14ac:dyDescent="0.2">
      <c r="A61" s="8" t="s">
        <v>2094</v>
      </c>
      <c r="B61" t="s">
        <v>1791</v>
      </c>
      <c r="E61" s="16">
        <f>'Bill Items'!I3577</f>
        <v>0</v>
      </c>
    </row>
    <row r="62" spans="1:5" x14ac:dyDescent="0.2">
      <c r="A62" s="8" t="s">
        <v>2095</v>
      </c>
      <c r="B62" t="s">
        <v>1801</v>
      </c>
      <c r="E62" s="16">
        <f>'Bill Items'!I3614</f>
        <v>0</v>
      </c>
    </row>
    <row r="63" spans="1:5" x14ac:dyDescent="0.2">
      <c r="A63" s="8" t="s">
        <v>2096</v>
      </c>
      <c r="B63" t="s">
        <v>1811</v>
      </c>
      <c r="E63" s="16">
        <f>'Bill Items'!I3653</f>
        <v>0</v>
      </c>
    </row>
    <row r="64" spans="1:5" x14ac:dyDescent="0.2">
      <c r="A64" s="8" t="s">
        <v>2097</v>
      </c>
      <c r="B64" t="s">
        <v>1822</v>
      </c>
      <c r="E64" s="16">
        <f>'Bill Items'!I3693</f>
        <v>0</v>
      </c>
    </row>
    <row r="65" spans="1:5" x14ac:dyDescent="0.2">
      <c r="A65" s="8" t="s">
        <v>2098</v>
      </c>
      <c r="B65" t="s">
        <v>1833</v>
      </c>
      <c r="E65" s="16">
        <f>'Bill Items'!I3714</f>
        <v>0</v>
      </c>
    </row>
    <row r="66" spans="1:5" x14ac:dyDescent="0.2">
      <c r="A66" s="8" t="s">
        <v>2099</v>
      </c>
      <c r="B66" t="s">
        <v>1838</v>
      </c>
      <c r="E66" s="16">
        <f>'Bill Items'!I3736</f>
        <v>0</v>
      </c>
    </row>
    <row r="67" spans="1:5" x14ac:dyDescent="0.2">
      <c r="A67" s="8" t="s">
        <v>2100</v>
      </c>
      <c r="B67" t="s">
        <v>1843</v>
      </c>
      <c r="E67" s="16">
        <f>'Bill Items'!I3775</f>
        <v>0</v>
      </c>
    </row>
    <row r="68" spans="1:5" x14ac:dyDescent="0.2">
      <c r="A68" s="8" t="s">
        <v>2101</v>
      </c>
      <c r="B68" t="s">
        <v>1853</v>
      </c>
      <c r="E68" s="16">
        <f>'Bill Items'!I3815</f>
        <v>0</v>
      </c>
    </row>
    <row r="69" spans="1:5" x14ac:dyDescent="0.2">
      <c r="A69" s="8" t="s">
        <v>2102</v>
      </c>
      <c r="B69" t="s">
        <v>1861</v>
      </c>
      <c r="E69" s="16">
        <f>'Bill Items'!I3836</f>
        <v>0</v>
      </c>
    </row>
    <row r="70" spans="1:5" x14ac:dyDescent="0.2">
      <c r="A70" s="8" t="s">
        <v>2103</v>
      </c>
      <c r="B70" t="s">
        <v>1866</v>
      </c>
      <c r="E70" s="16">
        <f>'Bill Items'!I3858</f>
        <v>0</v>
      </c>
    </row>
    <row r="71" spans="1:5" x14ac:dyDescent="0.2">
      <c r="A71" s="8" t="s">
        <v>2104</v>
      </c>
      <c r="B71" t="s">
        <v>1871</v>
      </c>
      <c r="E71" s="16">
        <f>'Bill Items'!I3902</f>
        <v>0</v>
      </c>
    </row>
    <row r="72" spans="1:5" x14ac:dyDescent="0.2">
      <c r="A72" s="8" t="s">
        <v>2105</v>
      </c>
      <c r="B72" t="s">
        <v>1895</v>
      </c>
      <c r="E72" s="16">
        <f>'Bill Items'!I3923</f>
        <v>0</v>
      </c>
    </row>
    <row r="73" spans="1:5" x14ac:dyDescent="0.2">
      <c r="A73" s="8" t="s">
        <v>2106</v>
      </c>
      <c r="B73" t="s">
        <v>1900</v>
      </c>
      <c r="E73" s="16">
        <f>'Bill Items'!I3944</f>
        <v>0</v>
      </c>
    </row>
    <row r="74" spans="1:5" x14ac:dyDescent="0.2">
      <c r="A74" s="8" t="s">
        <v>2107</v>
      </c>
      <c r="B74" t="s">
        <v>1905</v>
      </c>
      <c r="E74" s="16">
        <f>'Bill Items'!I3980</f>
        <v>0</v>
      </c>
    </row>
    <row r="75" spans="1:5" x14ac:dyDescent="0.2">
      <c r="A75" s="8" t="s">
        <v>2108</v>
      </c>
      <c r="B75" t="s">
        <v>1919</v>
      </c>
      <c r="E75" s="16">
        <f>'Bill Items'!I4003</f>
        <v>0</v>
      </c>
    </row>
    <row r="76" spans="1:5" x14ac:dyDescent="0.2">
      <c r="A76" s="8" t="s">
        <v>2109</v>
      </c>
      <c r="B76" t="s">
        <v>1927</v>
      </c>
      <c r="E76" s="16">
        <f>'Bill Items'!I4029</f>
        <v>0</v>
      </c>
    </row>
    <row r="77" spans="1:5" x14ac:dyDescent="0.2">
      <c r="A77" s="8" t="s">
        <v>2110</v>
      </c>
      <c r="B77" t="s">
        <v>1938</v>
      </c>
      <c r="E77" s="16">
        <f>'Bill Items'!I4067</f>
        <v>0</v>
      </c>
    </row>
    <row r="78" spans="1:5" x14ac:dyDescent="0.2">
      <c r="A78" s="8" t="s">
        <v>2111</v>
      </c>
      <c r="B78" t="s">
        <v>1961</v>
      </c>
      <c r="E78" s="16">
        <f>'Bill Items'!I4095</f>
        <v>0</v>
      </c>
    </row>
    <row r="79" spans="1:5" x14ac:dyDescent="0.2">
      <c r="A79" s="8" t="s">
        <v>2112</v>
      </c>
      <c r="B79" t="s">
        <v>1974</v>
      </c>
      <c r="E79" s="16">
        <f>'Bill Items'!I4160</f>
        <v>0</v>
      </c>
    </row>
    <row r="80" spans="1:5" x14ac:dyDescent="0.2">
      <c r="A80" s="20"/>
      <c r="B80" s="18"/>
      <c r="C80" s="18"/>
      <c r="D80" s="18"/>
      <c r="E80" s="17"/>
    </row>
    <row r="81" spans="4:5" x14ac:dyDescent="0.2">
      <c r="D81" s="5" t="s">
        <v>95</v>
      </c>
      <c r="E81" s="13">
        <f>SUM(E9:E79)</f>
        <v>0</v>
      </c>
    </row>
  </sheetData>
  <pageMargins left="0.7" right="0.7" top="0.75" bottom="0.75" header="0.3" footer="0.3"/>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96e0ead-2da1-46ca-b8f9-b1931bce63e8" xsi:nil="true"/>
    <Pre_x0020_Con_x0020_Number xmlns="896e0ead-2da1-46ca-b8f9-b1931bce63e8" xsi:nil="true"/>
    <Procurement xmlns="896e0ead-2da1-46ca-b8f9-b1931bce63e8">Route 1</Procurement>
    <lcf76f155ced4ddcb4097134ff3c332f xmlns="8d80d35c-5d28-4941-9507-e4eebdec2119">
      <Terms xmlns="http://schemas.microsoft.com/office/infopath/2007/PartnerControls"/>
    </lcf76f155ced4ddcb4097134ff3c332f>
    <K_x0020_Number_x0020_02 xmlns="896e0ead-2da1-46ca-b8f9-b1931bce63e8" xsi:nil="true"/>
    <Sector xmlns="896e0ead-2da1-46ca-b8f9-b1931bce63e8">Health</Sector>
    <DF_x002f_GW xmlns="8d80d35c-5d28-4941-9507-e4eebdec211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BDB694866863D43855A7EE496B07D1A" ma:contentTypeVersion="21" ma:contentTypeDescription="Create a new document." ma:contentTypeScope="" ma:versionID="f910fd63471f788d0960f297e4640ca8">
  <xsd:schema xmlns:xsd="http://www.w3.org/2001/XMLSchema" xmlns:xs="http://www.w3.org/2001/XMLSchema" xmlns:p="http://schemas.microsoft.com/office/2006/metadata/properties" xmlns:ns2="896e0ead-2da1-46ca-b8f9-b1931bce63e8" xmlns:ns3="8d80d35c-5d28-4941-9507-e4eebdec2119" targetNamespace="http://schemas.microsoft.com/office/2006/metadata/properties" ma:root="true" ma:fieldsID="f94fa0f87a662f0d90b9241370e2d7fd" ns2:_="" ns3:_="">
    <xsd:import namespace="896e0ead-2da1-46ca-b8f9-b1931bce63e8"/>
    <xsd:import namespace="8d80d35c-5d28-4941-9507-e4eebdec2119"/>
    <xsd:element name="properties">
      <xsd:complexType>
        <xsd:sequence>
          <xsd:element name="documentManagement">
            <xsd:complexType>
              <xsd:all>
                <xsd:element ref="ns2:K_x0020_Number_x0020_02" minOccurs="0"/>
                <xsd:element ref="ns2:Sector" minOccurs="0"/>
                <xsd:element ref="ns2:Pre_x0020_Con_x0020_Number" minOccurs="0"/>
                <xsd:element ref="ns2:Procurement" minOccurs="0"/>
                <xsd:element ref="ns3:MediaServiceMetadata" minOccurs="0"/>
                <xsd:element ref="ns3:MediaServiceFastMetadata" minOccurs="0"/>
                <xsd:element ref="ns3:MediaLengthInSecond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ServiceLocation" minOccurs="0"/>
                <xsd:element ref="ns2:SharedWithUsers" minOccurs="0"/>
                <xsd:element ref="ns2:SharedWithDetails" minOccurs="0"/>
                <xsd:element ref="ns3:MediaServiceObjectDetectorVersions" minOccurs="0"/>
                <xsd:element ref="ns3:MediaServiceSearchProperties" minOccurs="0"/>
                <xsd:element ref="ns3:DF_x002f_GW"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6e0ead-2da1-46ca-b8f9-b1931bce63e8" elementFormDefault="qualified">
    <xsd:import namespace="http://schemas.microsoft.com/office/2006/documentManagement/types"/>
    <xsd:import namespace="http://schemas.microsoft.com/office/infopath/2007/PartnerControls"/>
    <xsd:element name="K_x0020_Number_x0020_02" ma:index="2" nillable="true" ma:displayName="K Number" ma:internalName="K_x0020_Number_x0020_02" ma:readOnly="false">
      <xsd:simpleType>
        <xsd:restriction base="dms:Text">
          <xsd:maxLength value="255"/>
        </xsd:restriction>
      </xsd:simpleType>
    </xsd:element>
    <xsd:element name="Sector" ma:index="3" nillable="true" ma:displayName="Sector" ma:default="Health" ma:format="RadioButtons" ma:internalName="Sector" ma:readOnly="false">
      <xsd:simpleType>
        <xsd:restriction base="dms:Choice">
          <xsd:enumeration value="Health"/>
          <xsd:enumeration value="Leisure"/>
          <xsd:enumeration value="Education"/>
          <xsd:enumeration value="Further and Higher Education"/>
        </xsd:restriction>
      </xsd:simpleType>
    </xsd:element>
    <xsd:element name="Pre_x0020_Con_x0020_Number" ma:index="4" nillable="true" ma:displayName="Pre Con Number" ma:internalName="Pre_x0020_Con_x0020_Number" ma:readOnly="false">
      <xsd:simpleType>
        <xsd:restriction base="dms:Text">
          <xsd:maxLength value="255"/>
        </xsd:restriction>
      </xsd:simpleType>
    </xsd:element>
    <xsd:element name="Procurement" ma:index="5" nillable="true" ma:displayName="Procurement" ma:default="Route 1" ma:format="RadioButtons" ma:internalName="Procurement" ma:readOnly="false">
      <xsd:simpleType>
        <xsd:restriction base="dms:Choice">
          <xsd:enumeration value="Route 1"/>
          <xsd:enumeration value="Route 2"/>
          <xsd:enumeration value="Route 3"/>
          <xsd:enumeration value="Route 4"/>
        </xsd:restriction>
      </xsd:simpleType>
    </xsd:element>
    <xsd:element name="TaxCatchAll" ma:index="17" nillable="true" ma:displayName="Taxonomy Catch All Column" ma:hidden="true" ma:list="{7b3fc235-e460-4bd5-a50c-e2627ea6cc1d}" ma:internalName="TaxCatchAll" ma:readOnly="false" ma:showField="CatchAllData" ma:web="896e0ead-2da1-46ca-b8f9-b1931bce63e8">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80d35c-5d28-4941-9507-e4eebdec2119"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58c8070-d8ee-40c9-b4b7-7cd2040b35ca"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description="" ma:hidden="true" ma:indexed="true" ma:internalName="MediaServiceDateTake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hidden="true" ma:internalName="MediaServiceOCR" ma:readOnly="true">
      <xsd:simpleType>
        <xsd:restriction base="dms:Note"/>
      </xsd:simpleType>
    </xsd:element>
    <xsd:element name="MediaServiceLocation" ma:index="22" nillable="true" ma:displayName="Location" ma:description="" ma:hidden="true" ma:indexed="true" ma:internalName="MediaServiceLocation" ma:readOnly="true">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DF_x002f_GW" ma:index="27" nillable="true" ma:displayName="DF/GW" ma:description="Pre works folder" ma:format="Dropdown" ma:internalName="DF_x002f_GW"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38B537-F3FB-4A7A-BE54-5B2F5D8E24CE}">
  <ds:schemaRefs>
    <ds:schemaRef ds:uri="http://schemas.microsoft.com/office/2006/metadata/properties"/>
    <ds:schemaRef ds:uri="http://schemas.microsoft.com/office/infopath/2007/PartnerControls"/>
    <ds:schemaRef ds:uri="896e0ead-2da1-46ca-b8f9-b1931bce63e8"/>
    <ds:schemaRef ds:uri="8d80d35c-5d28-4941-9507-e4eebdec2119"/>
  </ds:schemaRefs>
</ds:datastoreItem>
</file>

<file path=customXml/itemProps2.xml><?xml version="1.0" encoding="utf-8"?>
<ds:datastoreItem xmlns:ds="http://schemas.openxmlformats.org/officeDocument/2006/customXml" ds:itemID="{F82EFFF4-CAF0-4B20-B0AE-C3D1084087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6e0ead-2da1-46ca-b8f9-b1931bce63e8"/>
    <ds:schemaRef ds:uri="8d80d35c-5d28-4941-9507-e4eebdec21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879C688-D1C2-430E-BA85-ABE6F836334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Bill Items</vt:lpstr>
      <vt:lpstr>Bill Summary</vt:lpstr>
      <vt:lpstr>General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Mills</dc:creator>
  <cp:lastModifiedBy>Thomas Mills</cp:lastModifiedBy>
  <dcterms:created xsi:type="dcterms:W3CDTF">2025-03-10T13:08:36Z</dcterms:created>
  <dcterms:modified xsi:type="dcterms:W3CDTF">2026-05-13T09:08:11Z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0x010100ABDB694866863D43855A7EE496B07D1A</vt:lpwstr>
  </property>
</Properties>
</file>